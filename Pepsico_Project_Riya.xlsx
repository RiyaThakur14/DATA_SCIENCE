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2.xml" ContentType="application/vnd.openxmlformats-officedocument.spreadsheetml.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IYA\DATA_SCIENCE\"/>
    </mc:Choice>
  </mc:AlternateContent>
  <xr:revisionPtr revIDLastSave="0" documentId="13_ncr:1_{1BA8ADB9-5B9F-467C-B811-CC85A9BCA563}" xr6:coauthVersionLast="47" xr6:coauthVersionMax="47" xr10:uidLastSave="{00000000-0000-0000-0000-000000000000}"/>
  <bookViews>
    <workbookView xWindow="-108" yWindow="-108" windowWidth="23256" windowHeight="12456" xr2:uid="{758FBD8D-05ED-413E-95E5-6AAB147B9888}"/>
  </bookViews>
  <sheets>
    <sheet name="Task 1" sheetId="2" r:id="rId1"/>
    <sheet name="Task 2" sheetId="3" r:id="rId2"/>
    <sheet name="Task 3" sheetId="4" r:id="rId3"/>
    <sheet name="Task 4" sheetId="5" r:id="rId4"/>
    <sheet name="Task 5.1" sheetId="6" r:id="rId5"/>
    <sheet name="Task 5.2" sheetId="7" r:id="rId6"/>
    <sheet name="Task 5.3" sheetId="8" r:id="rId7"/>
    <sheet name="Task 5.4" sheetId="9" r:id="rId8"/>
    <sheet name="Task 6" sheetId="10" r:id="rId9"/>
  </sheets>
  <definedNames>
    <definedName name="_xlnm._FilterDatabase" localSheetId="1" hidden="1">'Task 2'!$A$3:$M$303</definedName>
    <definedName name="_xlnm._FilterDatabase" localSheetId="2" hidden="1">'Task 3'!$A$3:$J$203</definedName>
    <definedName name="_xlnm._FilterDatabase" localSheetId="6" hidden="1">'Task 5.3'!$A$5:$A$305</definedName>
    <definedName name="_xlnm._FilterDatabase" localSheetId="7" hidden="1">'Task 5.4'!$A$5:$C$305</definedName>
  </definedNames>
  <calcPr calcId="191029"/>
  <pivotCaches>
    <pivotCache cacheId="0" r:id="rId10"/>
    <pivotCache cacheId="1" r:id="rId11"/>
    <pivotCache cacheId="2" r:id="rId12"/>
    <pivotCache cacheId="3" r:id="rId13"/>
    <pivotCache cacheId="4" r:id="rId14"/>
    <pivotCache cacheId="5" r:id="rId15"/>
    <pivotCache cacheId="6" r:id="rId16"/>
    <pivotCache cacheId="7" r:id="rId17"/>
    <pivotCache cacheId="8" r:id="rId18"/>
    <pivotCache cacheId="9" r:id="rId19"/>
    <pivotCache cacheId="10" r:id="rId20"/>
    <pivotCache cacheId="11" r:id="rId2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5" i="9" l="1"/>
  <c r="F204" i="9"/>
  <c r="F203" i="9"/>
  <c r="F202" i="9"/>
  <c r="F201" i="9"/>
  <c r="F200" i="9"/>
  <c r="F199" i="9"/>
  <c r="F198" i="9"/>
  <c r="F196" i="9"/>
  <c r="F194" i="9"/>
  <c r="F193" i="9"/>
  <c r="F192" i="9"/>
  <c r="F191" i="9"/>
  <c r="F189" i="9"/>
  <c r="F188" i="9"/>
  <c r="F187" i="9"/>
  <c r="F186" i="9"/>
  <c r="F185" i="9"/>
  <c r="F183" i="9"/>
  <c r="F182" i="9"/>
  <c r="F181" i="9"/>
  <c r="F180" i="9"/>
  <c r="F178" i="9"/>
  <c r="F177" i="9"/>
  <c r="F176" i="9"/>
  <c r="F175" i="9"/>
  <c r="F174" i="9"/>
  <c r="F173" i="9"/>
  <c r="F171" i="9"/>
  <c r="F170" i="9"/>
  <c r="F169" i="9"/>
  <c r="F168" i="9"/>
  <c r="F166" i="9"/>
  <c r="F164" i="9"/>
  <c r="F163" i="9"/>
  <c r="F162" i="9"/>
  <c r="F161" i="9"/>
  <c r="F160" i="9"/>
  <c r="F159" i="9"/>
  <c r="F158" i="9"/>
  <c r="F157" i="9"/>
  <c r="F156" i="9"/>
  <c r="F155" i="9"/>
  <c r="F154" i="9"/>
  <c r="F153" i="9"/>
  <c r="F152" i="9"/>
  <c r="F150" i="9"/>
  <c r="F149" i="9"/>
  <c r="F148" i="9"/>
  <c r="F147" i="9"/>
  <c r="F145" i="9"/>
  <c r="F144" i="9"/>
  <c r="F143" i="9"/>
  <c r="F141" i="9"/>
  <c r="F140" i="9"/>
  <c r="F139" i="9"/>
  <c r="F138" i="9"/>
  <c r="F137" i="9"/>
  <c r="F136" i="9"/>
  <c r="F135" i="9"/>
  <c r="F132" i="9"/>
  <c r="F130" i="9"/>
  <c r="F129" i="9"/>
  <c r="F128" i="9"/>
  <c r="F127" i="9"/>
  <c r="F125" i="9"/>
  <c r="F123" i="9"/>
  <c r="F122" i="9"/>
  <c r="F120" i="9"/>
  <c r="F119" i="9"/>
  <c r="F118" i="9"/>
  <c r="F117" i="9"/>
  <c r="F116" i="9"/>
  <c r="F115" i="9"/>
  <c r="F114" i="9"/>
  <c r="F113" i="9"/>
  <c r="F111" i="9"/>
  <c r="F110" i="9"/>
  <c r="F109" i="9"/>
  <c r="F108" i="9"/>
  <c r="F107" i="9"/>
  <c r="F106" i="9"/>
  <c r="F104" i="9"/>
  <c r="F103" i="9"/>
  <c r="F102" i="9"/>
  <c r="F100" i="9"/>
  <c r="F99" i="9"/>
  <c r="F98" i="9"/>
  <c r="F97" i="9"/>
  <c r="F96" i="9"/>
  <c r="F95" i="9"/>
  <c r="F93" i="9"/>
  <c r="F92" i="9"/>
  <c r="F91" i="9"/>
  <c r="F90" i="9"/>
  <c r="F89" i="9"/>
  <c r="F87" i="9"/>
  <c r="F86" i="9"/>
  <c r="F84" i="9"/>
  <c r="F83" i="9"/>
  <c r="F81" i="9"/>
  <c r="F80" i="9"/>
  <c r="F79" i="9"/>
  <c r="F78" i="9"/>
  <c r="F77" i="9"/>
  <c r="F76" i="9"/>
  <c r="F74" i="9"/>
  <c r="F72" i="9"/>
  <c r="F71" i="9"/>
  <c r="F69" i="9"/>
  <c r="F68" i="9"/>
  <c r="F67" i="9"/>
  <c r="F66" i="9"/>
  <c r="F65" i="9"/>
  <c r="F63" i="9"/>
  <c r="F62" i="9"/>
  <c r="F61" i="9"/>
  <c r="F60" i="9"/>
  <c r="F59" i="9"/>
  <c r="F57" i="9"/>
  <c r="F56" i="9"/>
  <c r="F55" i="9"/>
  <c r="F54" i="9"/>
  <c r="F51" i="9"/>
  <c r="F50" i="9"/>
  <c r="F48" i="9"/>
  <c r="F46" i="9"/>
  <c r="F45" i="9"/>
  <c r="F43" i="9"/>
  <c r="F42" i="9"/>
  <c r="F41" i="9"/>
  <c r="F40" i="9"/>
  <c r="F39" i="9"/>
  <c r="F38" i="9"/>
  <c r="F37" i="9"/>
  <c r="F36" i="9"/>
  <c r="F34" i="9"/>
  <c r="F33" i="9"/>
  <c r="F32" i="9"/>
  <c r="F31" i="9"/>
  <c r="F29" i="9"/>
  <c r="F28" i="9"/>
  <c r="F27" i="9"/>
  <c r="F26" i="9"/>
  <c r="F25" i="9"/>
  <c r="F24" i="9"/>
  <c r="F23" i="9"/>
  <c r="F22" i="9"/>
  <c r="F21" i="9"/>
  <c r="F20" i="9"/>
  <c r="F18" i="9"/>
  <c r="F17" i="9"/>
  <c r="F16" i="9"/>
  <c r="F15" i="9"/>
  <c r="F14" i="9"/>
  <c r="F13" i="9"/>
  <c r="F12" i="9"/>
  <c r="F11" i="9"/>
  <c r="F10" i="9"/>
  <c r="F9" i="9"/>
  <c r="F8" i="9"/>
  <c r="F7" i="9"/>
  <c r="F6" i="9"/>
  <c r="F305" i="9"/>
  <c r="F304" i="9"/>
  <c r="F303" i="9"/>
  <c r="F302" i="9"/>
  <c r="F301" i="9"/>
  <c r="F300" i="9"/>
  <c r="F299" i="9"/>
  <c r="F298" i="9"/>
  <c r="F296" i="9"/>
  <c r="F295" i="9"/>
  <c r="F293" i="9"/>
  <c r="F292" i="9"/>
  <c r="F291" i="9"/>
  <c r="F289" i="9"/>
  <c r="F288" i="9"/>
  <c r="F287" i="9"/>
  <c r="F286" i="9"/>
  <c r="F285" i="9"/>
  <c r="F284" i="9"/>
  <c r="F283" i="9"/>
  <c r="F282" i="9"/>
  <c r="F281" i="9"/>
  <c r="F280" i="9"/>
  <c r="F279" i="9"/>
  <c r="F278" i="9"/>
  <c r="F277" i="9"/>
  <c r="F276" i="9"/>
  <c r="F275" i="9"/>
  <c r="F274" i="9"/>
  <c r="F273" i="9"/>
  <c r="F271" i="9"/>
  <c r="F270" i="9"/>
  <c r="F269" i="9"/>
  <c r="F268" i="9"/>
  <c r="F266" i="9"/>
  <c r="F265" i="9"/>
  <c r="F264" i="9"/>
  <c r="F263" i="9"/>
  <c r="F262" i="9"/>
  <c r="F261" i="9"/>
  <c r="F260" i="9"/>
  <c r="F259" i="9"/>
  <c r="F257" i="9"/>
  <c r="F254" i="9"/>
  <c r="F251" i="9"/>
  <c r="F250" i="9"/>
  <c r="F249" i="9"/>
  <c r="F248" i="9"/>
  <c r="F247" i="9"/>
  <c r="F246" i="9"/>
  <c r="F245" i="9"/>
  <c r="F243" i="9"/>
  <c r="F242" i="9"/>
  <c r="F241" i="9"/>
  <c r="F240" i="9"/>
  <c r="F238" i="9"/>
  <c r="F237" i="9"/>
  <c r="F236" i="9"/>
  <c r="F235" i="9"/>
  <c r="F233" i="9"/>
  <c r="F232" i="9"/>
  <c r="F229" i="9"/>
  <c r="F227" i="9"/>
  <c r="F224" i="9"/>
  <c r="F223" i="9"/>
  <c r="F221" i="9"/>
  <c r="F220" i="9"/>
  <c r="F219" i="9"/>
  <c r="F218" i="9"/>
  <c r="F217" i="9"/>
  <c r="F216" i="9"/>
  <c r="F215" i="9"/>
  <c r="F214" i="9"/>
  <c r="F213" i="9"/>
  <c r="F212" i="9"/>
  <c r="F211" i="9"/>
  <c r="F210" i="9"/>
  <c r="F209" i="9"/>
  <c r="F208" i="9"/>
  <c r="F207" i="9"/>
  <c r="F206" i="9"/>
  <c r="F6" i="8" a="1"/>
  <c r="F6" i="8" s="1"/>
  <c r="G6" i="8" s="1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301" i="7"/>
  <c r="H302" i="7"/>
  <c r="H303" i="7"/>
  <c r="H304" i="7"/>
  <c r="H305" i="7"/>
  <c r="H306" i="7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4" i="3"/>
  <c r="G76" i="8" l="1"/>
  <c r="G107" i="8"/>
  <c r="G10" i="8"/>
  <c r="G18" i="8"/>
  <c r="G27" i="8"/>
  <c r="G37" i="8"/>
  <c r="G46" i="8"/>
  <c r="G59" i="8"/>
  <c r="G68" i="8"/>
  <c r="G79" i="8"/>
  <c r="G90" i="8"/>
  <c r="G99" i="8"/>
  <c r="G109" i="8"/>
  <c r="G118" i="8"/>
  <c r="G129" i="8"/>
  <c r="G140" i="8"/>
  <c r="G150" i="8"/>
  <c r="G159" i="8"/>
  <c r="G169" i="8"/>
  <c r="G178" i="8"/>
  <c r="G188" i="8"/>
  <c r="G199" i="8"/>
  <c r="G207" i="8"/>
  <c r="G215" i="8"/>
  <c r="G224" i="8"/>
  <c r="G238" i="8"/>
  <c r="G248" i="8"/>
  <c r="G261" i="8"/>
  <c r="G270" i="8"/>
  <c r="G279" i="8"/>
  <c r="G287" i="8"/>
  <c r="G298" i="8"/>
  <c r="G11" i="8"/>
  <c r="G20" i="8"/>
  <c r="G28" i="8"/>
  <c r="G38" i="8"/>
  <c r="G48" i="8"/>
  <c r="G60" i="8"/>
  <c r="G69" i="8"/>
  <c r="G80" i="8"/>
  <c r="G91" i="8"/>
  <c r="G100" i="8"/>
  <c r="G110" i="8"/>
  <c r="G119" i="8"/>
  <c r="G130" i="8"/>
  <c r="G141" i="8"/>
  <c r="G152" i="8"/>
  <c r="G160" i="8"/>
  <c r="G170" i="8"/>
  <c r="G180" i="8"/>
  <c r="G189" i="8"/>
  <c r="G200" i="8"/>
  <c r="G208" i="8"/>
  <c r="G216" i="8"/>
  <c r="G227" i="8"/>
  <c r="G240" i="8"/>
  <c r="G249" i="8"/>
  <c r="G262" i="8"/>
  <c r="G271" i="8"/>
  <c r="G280" i="8"/>
  <c r="G288" i="8"/>
  <c r="G299" i="8"/>
  <c r="G7" i="8"/>
  <c r="G24" i="8"/>
  <c r="G33" i="8"/>
  <c r="G21" i="8"/>
  <c r="G39" i="8"/>
  <c r="G61" i="8"/>
  <c r="G81" i="8"/>
  <c r="G111" i="8"/>
  <c r="G132" i="8"/>
  <c r="G153" i="8"/>
  <c r="G181" i="8"/>
  <c r="G201" i="8"/>
  <c r="G217" i="8"/>
  <c r="G250" i="8"/>
  <c r="G289" i="8"/>
  <c r="G13" i="8"/>
  <c r="G22" i="8"/>
  <c r="G31" i="8"/>
  <c r="G40" i="8"/>
  <c r="G51" i="8"/>
  <c r="G72" i="8"/>
  <c r="G83" i="8"/>
  <c r="G93" i="8"/>
  <c r="G103" i="8"/>
  <c r="G113" i="8"/>
  <c r="G122" i="8"/>
  <c r="G135" i="8"/>
  <c r="G144" i="8"/>
  <c r="G154" i="8"/>
  <c r="G162" i="8"/>
  <c r="G173" i="8"/>
  <c r="G182" i="8"/>
  <c r="G192" i="8"/>
  <c r="G202" i="8"/>
  <c r="G210" i="8"/>
  <c r="G218" i="8"/>
  <c r="G232" i="8"/>
  <c r="G242" i="8"/>
  <c r="G251" i="8"/>
  <c r="G264" i="8"/>
  <c r="G274" i="8"/>
  <c r="G282" i="8"/>
  <c r="G291" i="8"/>
  <c r="G301" i="8"/>
  <c r="G42" i="8"/>
  <c r="G12" i="8"/>
  <c r="G29" i="8"/>
  <c r="G50" i="8"/>
  <c r="G71" i="8"/>
  <c r="G92" i="8"/>
  <c r="G102" i="8"/>
  <c r="G120" i="8"/>
  <c r="G143" i="8"/>
  <c r="G161" i="8"/>
  <c r="G171" i="8"/>
  <c r="G191" i="8"/>
  <c r="G209" i="8"/>
  <c r="G229" i="8"/>
  <c r="G241" i="8"/>
  <c r="G263" i="8"/>
  <c r="G273" i="8"/>
  <c r="G281" i="8"/>
  <c r="G300" i="8"/>
  <c r="G62" i="8"/>
  <c r="G14" i="8"/>
  <c r="G23" i="8"/>
  <c r="G32" i="8"/>
  <c r="G41" i="8"/>
  <c r="G54" i="8"/>
  <c r="G63" i="8"/>
  <c r="G74" i="8"/>
  <c r="G84" i="8"/>
  <c r="G95" i="8"/>
  <c r="G104" i="8"/>
  <c r="G114" i="8"/>
  <c r="G123" i="8"/>
  <c r="G136" i="8"/>
  <c r="G145" i="8"/>
  <c r="G155" i="8"/>
  <c r="G163" i="8"/>
  <c r="G174" i="8"/>
  <c r="G183" i="8"/>
  <c r="G193" i="8"/>
  <c r="G203" i="8"/>
  <c r="G211" i="8"/>
  <c r="G219" i="8"/>
  <c r="G233" i="8"/>
  <c r="G243" i="8"/>
  <c r="G254" i="8"/>
  <c r="G265" i="8"/>
  <c r="G275" i="8"/>
  <c r="G283" i="8"/>
  <c r="G292" i="8"/>
  <c r="G302" i="8"/>
  <c r="G86" i="8"/>
  <c r="G96" i="8"/>
  <c r="G106" i="8"/>
  <c r="G115" i="8"/>
  <c r="G125" i="8"/>
  <c r="G137" i="8"/>
  <c r="G147" i="8"/>
  <c r="G156" i="8"/>
  <c r="G164" i="8"/>
  <c r="G175" i="8"/>
  <c r="G185" i="8"/>
  <c r="G194" i="8"/>
  <c r="G204" i="8"/>
  <c r="G212" i="8"/>
  <c r="G220" i="8"/>
  <c r="G235" i="8"/>
  <c r="G245" i="8"/>
  <c r="G257" i="8"/>
  <c r="G266" i="8"/>
  <c r="G276" i="8"/>
  <c r="G284" i="8"/>
  <c r="G293" i="8"/>
  <c r="G303" i="8"/>
  <c r="G15" i="8"/>
  <c r="G55" i="8"/>
  <c r="G25" i="8"/>
  <c r="G43" i="8"/>
  <c r="G66" i="8"/>
  <c r="G87" i="8"/>
  <c r="G116" i="8"/>
  <c r="G138" i="8"/>
  <c r="G157" i="8"/>
  <c r="G196" i="8"/>
  <c r="G236" i="8"/>
  <c r="G295" i="8"/>
  <c r="G65" i="8"/>
  <c r="G8" i="8"/>
  <c r="G16" i="8"/>
  <c r="G34" i="8"/>
  <c r="G56" i="8"/>
  <c r="G77" i="8"/>
  <c r="G97" i="8"/>
  <c r="G127" i="8"/>
  <c r="G148" i="8"/>
  <c r="G166" i="8"/>
  <c r="G176" i="8"/>
  <c r="G186" i="8"/>
  <c r="G205" i="8"/>
  <c r="G213" i="8"/>
  <c r="G221" i="8"/>
  <c r="G246" i="8"/>
  <c r="G259" i="8"/>
  <c r="G268" i="8"/>
  <c r="G277" i="8"/>
  <c r="G285" i="8"/>
  <c r="G304" i="8"/>
  <c r="G9" i="8"/>
  <c r="G17" i="8"/>
  <c r="G26" i="8"/>
  <c r="G36" i="8"/>
  <c r="G45" i="8"/>
  <c r="G57" i="8"/>
  <c r="G67" i="8"/>
  <c r="G78" i="8"/>
  <c r="G89" i="8"/>
  <c r="G98" i="8"/>
  <c r="G108" i="8"/>
  <c r="G117" i="8"/>
  <c r="G128" i="8"/>
  <c r="G139" i="8"/>
  <c r="G149" i="8"/>
  <c r="G158" i="8"/>
  <c r="G168" i="8"/>
  <c r="G177" i="8"/>
  <c r="G187" i="8"/>
  <c r="G198" i="8"/>
  <c r="G206" i="8"/>
  <c r="G214" i="8"/>
  <c r="G223" i="8"/>
  <c r="G237" i="8"/>
  <c r="G247" i="8"/>
  <c r="G260" i="8"/>
  <c r="G269" i="8"/>
  <c r="G278" i="8"/>
  <c r="G286" i="8"/>
  <c r="G296" i="8"/>
  <c r="G305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<sst xmlns="http://schemas.openxmlformats.org/spreadsheetml/2006/main" count="6217" uniqueCount="611">
  <si>
    <t>Post ID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</si>
  <si>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</si>
  <si>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</si>
  <si>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</si>
  <si>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</si>
  <si>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</si>
  <si>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</si>
  <si>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</si>
  <si>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</si>
  <si>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</si>
  <si>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</si>
  <si>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</si>
  <si>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</si>
  <si>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</si>
  <si>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</si>
  <si>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</si>
  <si>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</si>
  <si>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</si>
  <si>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</si>
  <si>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</si>
  <si>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</si>
  <si>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</si>
  <si>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</si>
  <si>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</si>
  <si>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</si>
  <si>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</si>
  <si>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</si>
  <si>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</si>
  <si>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</si>
  <si>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</si>
  <si>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</si>
  <si>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</si>
  <si>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</si>
  <si>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</si>
  <si>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</si>
  <si>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</si>
  <si>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</si>
  <si>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</si>
  <si>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</si>
  <si>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</si>
  <si>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</si>
  <si>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</si>
  <si>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</si>
  <si>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</si>
  <si>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</si>
  <si>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</si>
  <si>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</si>
  <si>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</si>
  <si>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</si>
  <si>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</si>
  <si>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</si>
  <si>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</si>
  <si>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</si>
  <si>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</si>
  <si>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</si>
  <si>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</si>
  <si>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</si>
  <si>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</si>
  <si>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</si>
  <si>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</si>
  <si>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</si>
  <si>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</si>
  <si>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</si>
  <si>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</si>
  <si>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</si>
  <si>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</si>
  <si>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</si>
  <si>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</si>
  <si>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</si>
  <si>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</si>
  <si>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</si>
  <si>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</si>
  <si>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</si>
  <si>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</si>
  <si>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</si>
  <si>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</si>
  <si>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</si>
  <si>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</si>
  <si>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</si>
  <si>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</si>
  <si>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</si>
  <si>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</si>
  <si>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</si>
  <si>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</si>
  <si>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</si>
  <si>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</si>
  <si>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</si>
  <si>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</si>
  <si>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</si>
  <si>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</si>
  <si>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</si>
  <si>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</si>
  <si>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</si>
  <si>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</si>
  <si>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</si>
  <si>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</si>
  <si>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</si>
  <si>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</si>
  <si>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</si>
  <si>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</si>
  <si>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</si>
  <si>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</si>
  <si>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</si>
  <si>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</si>
  <si>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</si>
  <si>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</si>
  <si>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</si>
  <si>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</si>
  <si>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</si>
  <si>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</si>
  <si>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</si>
  <si>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</si>
  <si>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</si>
  <si>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</si>
  <si>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</si>
  <si>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</si>
  <si>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</si>
  <si>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</si>
  <si>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</si>
  <si>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</si>
  <si>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</si>
  <si>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</si>
  <si>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</si>
  <si>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</si>
  <si>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</si>
  <si>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</si>
  <si>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</si>
  <si>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</si>
  <si>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</si>
  <si>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</si>
  <si>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</si>
  <si>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</si>
  <si>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</si>
  <si>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</si>
  <si>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</si>
  <si>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</si>
  <si>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</si>
  <si>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</si>
  <si>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</si>
  <si>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</si>
  <si>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</si>
  <si>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</si>
  <si>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</si>
  <si>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</si>
  <si>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</si>
  <si>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</si>
  <si>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</si>
  <si>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</si>
  <si>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</si>
  <si>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</si>
  <si>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</si>
  <si>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</si>
  <si>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</si>
  <si>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</si>
  <si>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</si>
  <si>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</si>
  <si>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</si>
  <si>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</si>
  <si>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</si>
  <si>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</si>
  <si>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</si>
  <si>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</si>
  <si>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</si>
  <si>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</si>
  <si>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</si>
  <si>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</si>
  <si>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</si>
  <si>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</si>
  <si>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</si>
  <si>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</si>
  <si>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</si>
  <si>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</si>
  <si>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</si>
  <si>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</si>
  <si>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</si>
  <si>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</si>
  <si>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</si>
  <si>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</si>
  <si>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</si>
  <si>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</si>
  <si>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</si>
  <si>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</si>
  <si>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</si>
  <si>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</si>
  <si>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</si>
  <si>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</si>
  <si>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</si>
  <si>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</si>
  <si>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</si>
  <si>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</si>
  <si>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</si>
  <si>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</si>
  <si>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</si>
  <si>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</si>
  <si>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</si>
  <si>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</si>
  <si>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</si>
  <si>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</si>
  <si>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</si>
  <si>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</si>
  <si>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</si>
  <si>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</si>
  <si>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</si>
  <si>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</si>
  <si>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</si>
  <si>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</si>
  <si>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</si>
  <si>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</si>
  <si>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</si>
  <si>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</si>
  <si>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</si>
  <si>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</si>
  <si>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</si>
  <si>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</si>
  <si>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</si>
  <si>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</si>
  <si>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</si>
  <si>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</si>
  <si>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</si>
  <si>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</si>
  <si>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</si>
  <si>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</si>
  <si>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</si>
  <si>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</si>
  <si>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</si>
  <si>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</si>
  <si>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</si>
  <si>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</si>
  <si>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</si>
  <si>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</si>
  <si>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</si>
  <si>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</si>
  <si>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</si>
  <si>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</si>
  <si>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</si>
  <si>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</si>
  <si>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</si>
  <si>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</si>
  <si>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</si>
  <si>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</si>
  <si>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</si>
  <si>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</si>
  <si>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</si>
  <si>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</si>
  <si>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</si>
  <si>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</si>
  <si>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</si>
  <si>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</si>
  <si>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</si>
  <si>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</si>
  <si>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</si>
  <si>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</si>
  <si>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</si>
  <si>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</si>
  <si>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</si>
  <si>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</si>
  <si>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</si>
  <si>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</si>
  <si>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</si>
  <si>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</si>
  <si>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</si>
  <si>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</si>
  <si>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</si>
  <si>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</si>
  <si>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</si>
  <si>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</si>
  <si>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</si>
  <si>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</si>
  <si>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</si>
  <si>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</si>
  <si>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</si>
  <si>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</si>
  <si>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</si>
  <si>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</si>
  <si>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</si>
  <si>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</si>
  <si>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</si>
  <si>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</si>
  <si>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</si>
  <si>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</si>
  <si>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</si>
  <si>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</si>
  <si>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</si>
  <si>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</si>
  <si>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</si>
  <si>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</si>
  <si>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</si>
  <si>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</si>
  <si>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</si>
  <si>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</si>
  <si>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</si>
  <si>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</si>
  <si>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</si>
  <si>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</si>
  <si>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</si>
  <si>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</si>
  <si>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</si>
  <si>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</si>
  <si>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</si>
  <si>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</si>
  <si>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</si>
  <si>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Platform</t>
  </si>
  <si>
    <t>Date</t>
  </si>
  <si>
    <t>Content Type</t>
  </si>
  <si>
    <t>Likes</t>
  </si>
  <si>
    <t>Shares</t>
  </si>
  <si>
    <t>Comments</t>
  </si>
  <si>
    <t>Impressions</t>
  </si>
  <si>
    <t>Reach</t>
  </si>
  <si>
    <t>Clicks</t>
  </si>
  <si>
    <t>Hashtags Used</t>
  </si>
  <si>
    <t>Twitter</t>
  </si>
  <si>
    <t>2024-12-23</t>
  </si>
  <si>
    <t>Reel</t>
  </si>
  <si>
    <t>2025-04-03</t>
  </si>
  <si>
    <t>Text</t>
  </si>
  <si>
    <t>YouTube</t>
  </si>
  <si>
    <t>2025-05-12</t>
  </si>
  <si>
    <t>#PepsiCoRefresh</t>
  </si>
  <si>
    <t>Instagram</t>
  </si>
  <si>
    <t>2024-08-12</t>
  </si>
  <si>
    <t>Story</t>
  </si>
  <si>
    <t>#ThirstyForMore</t>
  </si>
  <si>
    <t>2024-06-26</t>
  </si>
  <si>
    <t>Facebook</t>
  </si>
  <si>
    <t>2024-10-31</t>
  </si>
  <si>
    <t>Carousel</t>
  </si>
  <si>
    <t>2024-06-24</t>
  </si>
  <si>
    <t>2024-07-13</t>
  </si>
  <si>
    <t>Image</t>
  </si>
  <si>
    <t>2024-08-30</t>
  </si>
  <si>
    <t>2025-03-11</t>
  </si>
  <si>
    <t>2025-02-02</t>
  </si>
  <si>
    <t>#LiveForNow</t>
  </si>
  <si>
    <t>2024-07-21</t>
  </si>
  <si>
    <t>2024-11-18</t>
  </si>
  <si>
    <t>2025-02-16</t>
  </si>
  <si>
    <t>2024-10-24</t>
  </si>
  <si>
    <t>Video</t>
  </si>
  <si>
    <t>2024-08-26</t>
  </si>
  <si>
    <t>2025-05-05</t>
  </si>
  <si>
    <t>2024-08-19</t>
  </si>
  <si>
    <t>2024-06-23</t>
  </si>
  <si>
    <t>2024-09-09</t>
  </si>
  <si>
    <t>2025-01-04</t>
  </si>
  <si>
    <t>2025-02-27</t>
  </si>
  <si>
    <t>2024-11-06</t>
  </si>
  <si>
    <t>2025-01-23</t>
  </si>
  <si>
    <t>2025-04-10</t>
  </si>
  <si>
    <t>2025-04-05</t>
  </si>
  <si>
    <t>2024-09-17</t>
  </si>
  <si>
    <t>2025-03-04</t>
  </si>
  <si>
    <t>2025-01-31</t>
  </si>
  <si>
    <t>2025-02-25</t>
  </si>
  <si>
    <t>2024-12-16</t>
  </si>
  <si>
    <t>2024-07-31</t>
  </si>
  <si>
    <t>2024-08-21</t>
  </si>
  <si>
    <t>2025-03-26</t>
  </si>
  <si>
    <t>2024-11-30</t>
  </si>
  <si>
    <t>2025-04-19</t>
  </si>
  <si>
    <t>2025-01-06</t>
  </si>
  <si>
    <t>2025-02-17</t>
  </si>
  <si>
    <t>2024-11-25</t>
  </si>
  <si>
    <t>2025-03-07</t>
  </si>
  <si>
    <t>2025-03-08</t>
  </si>
  <si>
    <t>2025-03-05</t>
  </si>
  <si>
    <t>2024-12-14</t>
  </si>
  <si>
    <t>2025-03-02</t>
  </si>
  <si>
    <t>2024-11-01</t>
  </si>
  <si>
    <t>2025-05-02</t>
  </si>
  <si>
    <t>2025-02-24</t>
  </si>
  <si>
    <t>2024-06-10</t>
  </si>
  <si>
    <t>2024-07-03</t>
  </si>
  <si>
    <t>2024-06-13</t>
  </si>
  <si>
    <t>2025-01-03</t>
  </si>
  <si>
    <t>2025-03-13</t>
  </si>
  <si>
    <t>2024-06-17</t>
  </si>
  <si>
    <t>2024-12-18</t>
  </si>
  <si>
    <t>2024-10-21</t>
  </si>
  <si>
    <t>2025-04-15</t>
  </si>
  <si>
    <t>2024-06-22</t>
  </si>
  <si>
    <t>2025-01-28</t>
  </si>
  <si>
    <t>2024-09-05</t>
  </si>
  <si>
    <t>2024-11-22</t>
  </si>
  <si>
    <t>2024-08-17</t>
  </si>
  <si>
    <t>2025-03-28</t>
  </si>
  <si>
    <t>2024-07-26</t>
  </si>
  <si>
    <t>2025-03-29</t>
  </si>
  <si>
    <t>2024-12-08</t>
  </si>
  <si>
    <t>2025-04-02</t>
  </si>
  <si>
    <t>2024-09-02</t>
  </si>
  <si>
    <t>2025-03-03</t>
  </si>
  <si>
    <t>2024-10-18</t>
  </si>
  <si>
    <t>2024-10-28</t>
  </si>
  <si>
    <t>2024-08-01</t>
  </si>
  <si>
    <t>2024-11-07</t>
  </si>
  <si>
    <t>2024-10-09</t>
  </si>
  <si>
    <t>2024-10-19</t>
  </si>
  <si>
    <t>2024-07-24</t>
  </si>
  <si>
    <t>2024-10-15</t>
  </si>
  <si>
    <t>2024-12-09</t>
  </si>
  <si>
    <t>2025-01-27</t>
  </si>
  <si>
    <t>2024-06-06</t>
  </si>
  <si>
    <t>2024-07-07</t>
  </si>
  <si>
    <t>2025-01-10</t>
  </si>
  <si>
    <t>2024-06-03</t>
  </si>
  <si>
    <t>2025-03-24</t>
  </si>
  <si>
    <t>2024-12-11</t>
  </si>
  <si>
    <t>2024-11-08</t>
  </si>
  <si>
    <t>2024-09-10</t>
  </si>
  <si>
    <t>2024-08-13</t>
  </si>
  <si>
    <t>2024-07-02</t>
  </si>
  <si>
    <t>2025-02-10</t>
  </si>
  <si>
    <t>2024-09-18</t>
  </si>
  <si>
    <t>2024-06-11</t>
  </si>
  <si>
    <t>2025-03-23</t>
  </si>
  <si>
    <t>2024-06-14</t>
  </si>
  <si>
    <t>2025-02-04</t>
  </si>
  <si>
    <t>2024-06-21</t>
  </si>
  <si>
    <t>2025-03-25</t>
  </si>
  <si>
    <t>2024-08-08</t>
  </si>
  <si>
    <t>2024-07-29</t>
  </si>
  <si>
    <t>2024-11-23</t>
  </si>
  <si>
    <t>2024-10-05</t>
  </si>
  <si>
    <t>2024-10-02</t>
  </si>
  <si>
    <t>2024-11-14</t>
  </si>
  <si>
    <t>2025-05-11</t>
  </si>
  <si>
    <t>2025-03-18</t>
  </si>
  <si>
    <t>2024-11-04</t>
  </si>
  <si>
    <t>2025-02-07</t>
  </si>
  <si>
    <t>2025-04-06</t>
  </si>
  <si>
    <t>2024-09-08</t>
  </si>
  <si>
    <t>2024-09-29</t>
  </si>
  <si>
    <t>2025-02-06</t>
  </si>
  <si>
    <t>2025-04-24</t>
  </si>
  <si>
    <t>2024-11-28</t>
  </si>
  <si>
    <t>2024-07-11</t>
  </si>
  <si>
    <t>2024-10-29</t>
  </si>
  <si>
    <t>2024-07-15</t>
  </si>
  <si>
    <t>2024-08-31</t>
  </si>
  <si>
    <t>2024-06-05</t>
  </si>
  <si>
    <t>2024-06-16</t>
  </si>
  <si>
    <t>2024-08-22</t>
  </si>
  <si>
    <t>2025-04-22</t>
  </si>
  <si>
    <t>2025-01-01</t>
  </si>
  <si>
    <t>2024-12-21</t>
  </si>
  <si>
    <t>2024-10-22</t>
  </si>
  <si>
    <t>2024-07-23</t>
  </si>
  <si>
    <t>2024-08-11</t>
  </si>
  <si>
    <t>2024-08-24</t>
  </si>
  <si>
    <t>2025-02-19</t>
  </si>
  <si>
    <t>2025-04-01</t>
  </si>
  <si>
    <t>2025-04-08</t>
  </si>
  <si>
    <t>2024-11-12</t>
  </si>
  <si>
    <t>2024-12-03</t>
  </si>
  <si>
    <t>2025-04-28</t>
  </si>
  <si>
    <t>2024-12-31</t>
  </si>
  <si>
    <t>2024-08-14</t>
  </si>
  <si>
    <t>2024-12-05</t>
  </si>
  <si>
    <t>2025-01-17</t>
  </si>
  <si>
    <t>2024-06-20</t>
  </si>
  <si>
    <t>2024-07-10</t>
  </si>
  <si>
    <t>2025-03-21</t>
  </si>
  <si>
    <t>2024-12-17</t>
  </si>
  <si>
    <t>2024-07-28</t>
  </si>
  <si>
    <t>2025-01-11</t>
  </si>
  <si>
    <t>2024-12-22</t>
  </si>
  <si>
    <t>2024-10-04</t>
  </si>
  <si>
    <t>2024-11-29</t>
  </si>
  <si>
    <t>2024-09-11</t>
  </si>
  <si>
    <t>2024-08-15</t>
  </si>
  <si>
    <t>2024-12-19</t>
  </si>
  <si>
    <t>2024-09-14</t>
  </si>
  <si>
    <t>2025-04-07</t>
  </si>
  <si>
    <t>2025-01-15</t>
  </si>
  <si>
    <t>2024-06-02</t>
  </si>
  <si>
    <t>2024-11-21</t>
  </si>
  <si>
    <t>2024-12-29</t>
  </si>
  <si>
    <t>2025-03-19</t>
  </si>
  <si>
    <t>2024-07-18</t>
  </si>
  <si>
    <t>2025-05-01</t>
  </si>
  <si>
    <t>2025-05-06</t>
  </si>
  <si>
    <t>2024-10-08</t>
  </si>
  <si>
    <t>2025-05-13</t>
  </si>
  <si>
    <t>2024-08-07</t>
  </si>
  <si>
    <t>2024-06-12</t>
  </si>
  <si>
    <t>2024-07-01</t>
  </si>
  <si>
    <t>2025-04-29</t>
  </si>
  <si>
    <t>2024-06-01</t>
  </si>
  <si>
    <t>2024-07-16</t>
  </si>
  <si>
    <t>2025-01-18</t>
  </si>
  <si>
    <t>2025-03-06</t>
  </si>
  <si>
    <t>2024-10-25</t>
  </si>
  <si>
    <t>2025-01-12</t>
  </si>
  <si>
    <t>2024-10-11</t>
  </si>
  <si>
    <t>2024-08-27</t>
  </si>
  <si>
    <t>2025-03-27</t>
  </si>
  <si>
    <t>2024-08-03</t>
  </si>
  <si>
    <t>2025-01-14</t>
  </si>
  <si>
    <t>2024-08-05</t>
  </si>
  <si>
    <t>2025-02-12</t>
  </si>
  <si>
    <t>2024-10-27</t>
  </si>
  <si>
    <t>2024-08-20</t>
  </si>
  <si>
    <t>2025-01-30</t>
  </si>
  <si>
    <t>2025-02-20</t>
  </si>
  <si>
    <t>2025-04-13</t>
  </si>
  <si>
    <t>2024-11-05</t>
  </si>
  <si>
    <t>2024-10-17</t>
  </si>
  <si>
    <t>2024-10-12</t>
  </si>
  <si>
    <t>2024-06-07</t>
  </si>
  <si>
    <t>2024-11-26</t>
  </si>
  <si>
    <t>2025-03-22</t>
  </si>
  <si>
    <t>2024-10-03</t>
  </si>
  <si>
    <t>2025-05-09</t>
  </si>
  <si>
    <t>2024-09-25</t>
  </si>
  <si>
    <t>2025-04-17</t>
  </si>
  <si>
    <t>2024-12-20</t>
  </si>
  <si>
    <t>2024-11-17</t>
  </si>
  <si>
    <t>2025-05-14</t>
  </si>
  <si>
    <t>2024-06-19</t>
  </si>
  <si>
    <t>2025-02-11</t>
  </si>
  <si>
    <t>2024-12-24</t>
  </si>
  <si>
    <t>TASK 1: DATA PREPROCESSING AND CLEANING</t>
  </si>
  <si>
    <t>#AnytimeIsPepsiTime</t>
  </si>
  <si>
    <t>#BetterWithPepsi</t>
  </si>
  <si>
    <t>#SmoothLikeNitroPepsi</t>
  </si>
  <si>
    <t>TASK 2: ENGAGEMENT ANALYSIS</t>
  </si>
  <si>
    <t>Engagement Rate</t>
  </si>
  <si>
    <t>Sum</t>
  </si>
  <si>
    <t>Top 10 Rate</t>
  </si>
  <si>
    <t>TASK 3: SOCIAL MEDIA PLATFORM ANALYSIS</t>
  </si>
  <si>
    <t>Ad_Spend</t>
  </si>
  <si>
    <t>Grand Total</t>
  </si>
  <si>
    <t>Row Labels</t>
  </si>
  <si>
    <t>Sum of Likes</t>
  </si>
  <si>
    <t>Sum of Shares</t>
  </si>
  <si>
    <t>Sum of Comments</t>
  </si>
  <si>
    <t>Sum of Impressions</t>
  </si>
  <si>
    <t>PIVOT TABLE</t>
  </si>
  <si>
    <t>1. Total Likes, Shares, and Comments by Content Type and Platform.</t>
  </si>
  <si>
    <t>Sum of Clicks</t>
  </si>
  <si>
    <t>Hashtags 1</t>
  </si>
  <si>
    <t>Hashtags 2</t>
  </si>
  <si>
    <t>(blank)</t>
  </si>
  <si>
    <t>2. Average clicks per post by hashtag:</t>
  </si>
  <si>
    <t>Engagement_Rate</t>
  </si>
  <si>
    <t>Sum of Engagement_Rate</t>
  </si>
  <si>
    <t>Instagram has the highest engagement.</t>
  </si>
  <si>
    <t>New_Followers</t>
  </si>
  <si>
    <t>Unfollows</t>
  </si>
  <si>
    <t>Sum of Ad_Spend</t>
  </si>
  <si>
    <t>TASK 4: HASHTAGS AND CONTENT STRATEGY</t>
  </si>
  <si>
    <t>Hashtags Used 2</t>
  </si>
  <si>
    <t>Hashtags Used 3</t>
  </si>
  <si>
    <t>Average of Likes</t>
  </si>
  <si>
    <t>Average of Comments</t>
  </si>
  <si>
    <t>Average of Shares</t>
  </si>
  <si>
    <t>Count of Content Type</t>
  </si>
  <si>
    <t>Column Labels</t>
  </si>
  <si>
    <t>Count of Reach</t>
  </si>
  <si>
    <t>TASK 5: CAMPAIGN EFFECTIVENESS</t>
  </si>
  <si>
    <t>Campaign_Name</t>
  </si>
  <si>
    <t>SummerSplash</t>
  </si>
  <si>
    <t>FestiveRadiance</t>
  </si>
  <si>
    <t>NewYearRefresh</t>
  </si>
  <si>
    <t>DailyWellness</t>
  </si>
  <si>
    <t>Average of Impressions</t>
  </si>
  <si>
    <t>Average of Clicks</t>
  </si>
  <si>
    <t>Week_Start_Date</t>
  </si>
  <si>
    <t>2024-07-08</t>
  </si>
  <si>
    <t>2024-07-22</t>
  </si>
  <si>
    <t>2024-09-16</t>
  </si>
  <si>
    <t>2024-09-23</t>
  </si>
  <si>
    <t>2024-09-30</t>
  </si>
  <si>
    <t>2024-10-07</t>
  </si>
  <si>
    <t>2024-10-14</t>
  </si>
  <si>
    <t>2024-11-11</t>
  </si>
  <si>
    <t>2024-12-02</t>
  </si>
  <si>
    <t>2024-12-30</t>
  </si>
  <si>
    <t>2025-01-13</t>
  </si>
  <si>
    <t>2025-01-20</t>
  </si>
  <si>
    <t>2025-02-03</t>
  </si>
  <si>
    <t>2025-03-10</t>
  </si>
  <si>
    <t>2025-03-17</t>
  </si>
  <si>
    <t>2025-03-31</t>
  </si>
  <si>
    <t>2025-04-14</t>
  </si>
  <si>
    <t>2025-04-21</t>
  </si>
  <si>
    <t>Period</t>
  </si>
  <si>
    <t>Budget</t>
  </si>
  <si>
    <t>ROI</t>
  </si>
  <si>
    <t>Sum of ROI</t>
  </si>
  <si>
    <t>Total_Followers</t>
  </si>
  <si>
    <t>Net Followers</t>
  </si>
  <si>
    <t>Sum of Net Followers</t>
  </si>
  <si>
    <t>MOVING AVERAGE CHART</t>
  </si>
  <si>
    <t>Hashtag Split 1</t>
  </si>
  <si>
    <t>Hashtag Split 2</t>
  </si>
  <si>
    <t>SCATTER CHART WITH AD_SPEND &amp; NET FOLLOWERS</t>
  </si>
  <si>
    <t>TASK 6: FOLLOWER RETENTION AND AUDIENCE LOYALTY</t>
  </si>
  <si>
    <t>TASK 5.4: STRONGEST FOLLOWER GROWTH IMPACT</t>
  </si>
  <si>
    <t>TASK 5.3: HIGHEST ROI</t>
  </si>
  <si>
    <t>TASK 5.2: ENGAGEMENT UPLIFT DURING vs. BEFORE THE CAMPAIGN PERIOD</t>
  </si>
  <si>
    <t>TOTAL AND AVERAGE AS PER CAMPAIGN</t>
  </si>
  <si>
    <t>HIGHEST ENGAGEMENT RATE OF PLATFORMS</t>
  </si>
  <si>
    <t>AD-SPEND ACROSS THE PLATFORMS</t>
  </si>
  <si>
    <t>AVERAGE PERFORMANCES</t>
  </si>
  <si>
    <t>MOST FREQUENTLY USED HASHTAGS</t>
  </si>
  <si>
    <t>PERFORMANCE COMPARISON</t>
  </si>
  <si>
    <t>Facebook Reel content should be prioritized</t>
  </si>
  <si>
    <t>https://www.loom.com/share/be1b2bbc8d824190b07eb0b54c2dc63e</t>
  </si>
  <si>
    <t>Link for the Loom Video: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</si>
</sst>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Arial"/>
    </font>
    <font>
      <sz val="8"/>
      <name val="Calibri"/>
      <family val="2"/>
      <scheme val="minor"/>
    </font>
    <font>
      <sz val="11"/>
      <color theme="1"/>
      <name val="Calibri"/>
    </font>
    <font>
      <b/>
      <sz val="14"/>
      <color theme="9" tint="-0.499984740745262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theme="5" tint="0.79998168889431442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theme="5" tint="0.3999755851924192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theme="5" tint="0.39997558519241921"/>
      </right>
      <top style="thin">
        <color theme="5" tint="0.3999755851924192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5" tint="0.39997558519241921"/>
      </left>
      <right/>
      <top style="thin">
        <color rgb="FF000000"/>
      </top>
      <bottom/>
      <diagonal/>
    </border>
    <border>
      <left/>
      <right style="thin">
        <color theme="5" tint="0.39997558519241921"/>
      </right>
      <top style="thin">
        <color rgb="FF000000"/>
      </top>
      <bottom/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67">
    <xf numFmtId="0" fontId="0" fillId="0" borderId="0" xfId="0"/>
    <xf numFmtId="0" fontId="3" fillId="0" borderId="0" xfId="0" applyFont="1"/>
    <xf numFmtId="0" fontId="4" fillId="0" borderId="1" xfId="0" applyFont="1" applyBorder="1" applyAlignment="1">
      <alignment horizontal="center" vertical="top"/>
    </xf>
    <xf numFmtId="0" fontId="1" fillId="0" borderId="0" xfId="0" applyFont="1"/>
    <xf numFmtId="0" fontId="4" fillId="0" borderId="1" xfId="0" applyFont="1" applyBorder="1" applyAlignment="1">
      <alignment horizontal="center" vertical="top" wrapText="1"/>
    </xf>
    <xf numFmtId="0" fontId="5" fillId="0" borderId="0" xfId="0" applyFont="1"/>
    <xf numFmtId="0" fontId="6" fillId="0" borderId="1" xfId="0" applyFont="1" applyBorder="1" applyAlignment="1">
      <alignment horizontal="center" vertical="top"/>
    </xf>
    <xf numFmtId="0" fontId="7" fillId="0" borderId="0" xfId="0" applyFont="1"/>
    <xf numFmtId="0" fontId="6" fillId="0" borderId="1" xfId="0" applyFont="1" applyBorder="1" applyAlignment="1">
      <alignment horizontal="center" vertical="top" wrapText="1"/>
    </xf>
    <xf numFmtId="0" fontId="8" fillId="0" borderId="0" xfId="0" applyFont="1"/>
    <xf numFmtId="0" fontId="4" fillId="0" borderId="2" xfId="0" applyFont="1" applyBorder="1" applyAlignment="1">
      <alignment horizontal="center" vertical="top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3" fillId="2" borderId="0" xfId="0" applyFont="1" applyFill="1"/>
    <xf numFmtId="0" fontId="2" fillId="0" borderId="0" xfId="0" applyFont="1"/>
    <xf numFmtId="0" fontId="0" fillId="0" borderId="0" xfId="0" applyAlignment="1">
      <alignment horizontal="left" indent="2"/>
    </xf>
    <xf numFmtId="0" fontId="4" fillId="0" borderId="0" xfId="0" applyFont="1" applyAlignment="1">
      <alignment horizontal="center" vertical="top" wrapText="1"/>
    </xf>
    <xf numFmtId="0" fontId="0" fillId="3" borderId="0" xfId="0" applyFill="1" applyAlignment="1">
      <alignment horizontal="left"/>
    </xf>
    <xf numFmtId="0" fontId="0" fillId="3" borderId="0" xfId="0" applyFill="1"/>
    <xf numFmtId="0" fontId="0" fillId="4" borderId="0" xfId="0" applyFill="1"/>
    <xf numFmtId="0" fontId="0" fillId="5" borderId="0" xfId="0" applyFill="1" applyAlignment="1">
      <alignment horizontal="left"/>
    </xf>
    <xf numFmtId="0" fontId="0" fillId="5" borderId="0" xfId="0" applyFill="1"/>
    <xf numFmtId="0" fontId="0" fillId="5" borderId="0" xfId="0" applyFill="1" applyAlignment="1">
      <alignment horizontal="left" indent="1"/>
    </xf>
    <xf numFmtId="0" fontId="0" fillId="5" borderId="0" xfId="0" applyFill="1" applyAlignment="1">
      <alignment horizontal="left" indent="2"/>
    </xf>
    <xf numFmtId="0" fontId="0" fillId="6" borderId="0" xfId="0" applyFill="1"/>
    <xf numFmtId="0" fontId="0" fillId="7" borderId="0" xfId="0" applyFill="1" applyAlignment="1">
      <alignment horizontal="left"/>
    </xf>
    <xf numFmtId="0" fontId="0" fillId="7" borderId="0" xfId="0" applyFill="1"/>
    <xf numFmtId="0" fontId="0" fillId="8" borderId="0" xfId="0" applyFill="1"/>
    <xf numFmtId="0" fontId="0" fillId="8" borderId="0" xfId="0" applyFill="1" applyAlignment="1">
      <alignment horizontal="left"/>
    </xf>
    <xf numFmtId="0" fontId="10" fillId="0" borderId="0" xfId="0" applyFont="1"/>
    <xf numFmtId="0" fontId="6" fillId="0" borderId="3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 wrapText="1"/>
    </xf>
    <xf numFmtId="0" fontId="0" fillId="9" borderId="0" xfId="0" applyFill="1" applyAlignment="1">
      <alignment horizontal="left"/>
    </xf>
    <xf numFmtId="0" fontId="0" fillId="9" borderId="0" xfId="0" applyFill="1"/>
    <xf numFmtId="0" fontId="0" fillId="0" borderId="0" xfId="1" applyNumberFormat="1" applyFont="1"/>
    <xf numFmtId="0" fontId="11" fillId="8" borderId="0" xfId="0" applyFont="1" applyFill="1"/>
    <xf numFmtId="0" fontId="4" fillId="0" borderId="2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top" wrapText="1"/>
    </xf>
    <xf numFmtId="0" fontId="0" fillId="10" borderId="5" xfId="0" applyFont="1" applyFill="1" applyBorder="1"/>
    <xf numFmtId="0" fontId="0" fillId="10" borderId="6" xfId="0" applyFont="1" applyFill="1" applyBorder="1"/>
    <xf numFmtId="0" fontId="4" fillId="10" borderId="8" xfId="0" applyFont="1" applyFill="1" applyBorder="1" applyAlignment="1">
      <alignment horizontal="center" vertical="top"/>
    </xf>
    <xf numFmtId="0" fontId="4" fillId="10" borderId="8" xfId="0" applyFont="1" applyFill="1" applyBorder="1" applyAlignment="1">
      <alignment horizontal="center" vertical="top" wrapText="1"/>
    </xf>
    <xf numFmtId="0" fontId="4" fillId="10" borderId="10" xfId="0" applyFont="1" applyFill="1" applyBorder="1" applyAlignment="1">
      <alignment horizontal="center" vertical="top"/>
    </xf>
    <xf numFmtId="0" fontId="0" fillId="0" borderId="11" xfId="0" applyFont="1" applyBorder="1"/>
    <xf numFmtId="0" fontId="0" fillId="0" borderId="4" xfId="0" applyFont="1" applyBorder="1"/>
    <xf numFmtId="0" fontId="5" fillId="0" borderId="4" xfId="0" applyFont="1" applyBorder="1"/>
    <xf numFmtId="0" fontId="8" fillId="0" borderId="4" xfId="0" applyFont="1" applyBorder="1"/>
    <xf numFmtId="0" fontId="0" fillId="0" borderId="12" xfId="0" applyFont="1" applyBorder="1"/>
    <xf numFmtId="0" fontId="0" fillId="10" borderId="13" xfId="0" applyFont="1" applyFill="1" applyBorder="1"/>
    <xf numFmtId="0" fontId="0" fillId="10" borderId="14" xfId="0" applyFont="1" applyFill="1" applyBorder="1"/>
    <xf numFmtId="0" fontId="5" fillId="10" borderId="14" xfId="0" applyFont="1" applyFill="1" applyBorder="1"/>
    <xf numFmtId="0" fontId="8" fillId="10" borderId="14" xfId="0" applyFont="1" applyFill="1" applyBorder="1"/>
    <xf numFmtId="0" fontId="0" fillId="10" borderId="9" xfId="0" applyFont="1" applyFill="1" applyBorder="1"/>
    <xf numFmtId="0" fontId="0" fillId="0" borderId="13" xfId="0" applyFont="1" applyBorder="1"/>
    <xf numFmtId="0" fontId="0" fillId="0" borderId="14" xfId="0" applyFont="1" applyBorder="1"/>
    <xf numFmtId="0" fontId="5" fillId="0" borderId="14" xfId="0" applyFont="1" applyBorder="1"/>
    <xf numFmtId="0" fontId="8" fillId="0" borderId="14" xfId="0" applyFont="1" applyBorder="1"/>
    <xf numFmtId="0" fontId="0" fillId="0" borderId="9" xfId="0" applyFont="1" applyBorder="1"/>
    <xf numFmtId="0" fontId="0" fillId="10" borderId="7" xfId="0" applyFont="1" applyFill="1" applyBorder="1"/>
    <xf numFmtId="0" fontId="8" fillId="10" borderId="5" xfId="0" applyFont="1" applyFill="1" applyBorder="1"/>
    <xf numFmtId="0" fontId="12" fillId="0" borderId="0" xfId="0" applyFont="1"/>
    <xf numFmtId="0" fontId="0" fillId="0" borderId="0" xfId="0" applyNumberFormat="1"/>
    <xf numFmtId="0" fontId="12" fillId="7" borderId="0" xfId="0" applyFont="1" applyFill="1" applyAlignment="1">
      <alignment horizontal="left"/>
    </xf>
    <xf numFmtId="0" fontId="13" fillId="0" borderId="0" xfId="2"/>
  </cellXfs>
  <cellStyles count="3">
    <cellStyle name="Hyperlink" xfId="2" builtinId="8"/>
    <cellStyle name="Normal" xfId="0" builtinId="0"/>
    <cellStyle name="Percent" xfId="1" builtinId="5"/>
  </cellStyles>
  <dxfs count="6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7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3" tint="0.59999389629810485"/>
        </patternFill>
      </fill>
    </dxf>
    <dxf>
      <fill>
        <patternFill>
          <bgColor theme="3" tint="0.59999389629810485"/>
        </patternFill>
      </fill>
    </dxf>
    <dxf>
      <fill>
        <patternFill patternType="solid"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pivotCacheDefinition" Target="pivotCache/pivotCacheDefinition9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2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pivotCacheDefinition" Target="pivotCache/pivotCacheDefinition8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7.xml"/><Relationship Id="rId20" Type="http://schemas.openxmlformats.org/officeDocument/2006/relationships/pivotCacheDefinition" Target="pivotCache/pivotCacheDefinition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6.xml"/><Relationship Id="rId23" Type="http://schemas.openxmlformats.org/officeDocument/2006/relationships/styles" Target="styles.xml"/><Relationship Id="rId10" Type="http://schemas.openxmlformats.org/officeDocument/2006/relationships/pivotCacheDefinition" Target="pivotCache/pivotCacheDefinition1.xml"/><Relationship Id="rId19" Type="http://schemas.openxmlformats.org/officeDocument/2006/relationships/pivotCacheDefinition" Target="pivotCache/pivotCacheDefinition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Relationship Id="rId2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Count of Hashtags Used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#LiveForNow</c:v>
              </c:pt>
              <c:pt idx="1">
                <c:v>#PepsiCoRefresh</c:v>
              </c:pt>
              <c:pt idx="2">
                <c:v>#ThirstyForMore</c:v>
              </c:pt>
            </c:strLit>
          </c:cat>
          <c:val>
            <c:numLit>
              <c:formatCode>General</c:formatCode>
              <c:ptCount val="3"/>
              <c:pt idx="0">
                <c:v>103</c:v>
              </c:pt>
              <c:pt idx="1">
                <c:v>100</c:v>
              </c:pt>
              <c:pt idx="2">
                <c:v>97</c:v>
              </c:pt>
            </c:numLit>
          </c:val>
          <c:extLst>
            <c:ext xmlns:c16="http://schemas.microsoft.com/office/drawing/2014/chart" uri="{C3380CC4-5D6E-409C-BE32-E72D297353CC}">
              <c16:uniqueId val="{00000000-15B6-4F6A-8D1A-D591F8244FAC}"/>
            </c:ext>
          </c:extLst>
        </c:ser>
        <c:ser>
          <c:idx val="1"/>
          <c:order val="1"/>
          <c:tx>
            <c:v>Count of Hashtags Used 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#LiveForNow</c:v>
              </c:pt>
              <c:pt idx="1">
                <c:v>#PepsiCoRefresh</c:v>
              </c:pt>
              <c:pt idx="2">
                <c:v>#ThirstyForMore</c:v>
              </c:pt>
            </c:strLit>
          </c:cat>
          <c:val>
            <c:numLit>
              <c:formatCode>General</c:formatCode>
              <c:ptCount val="3"/>
              <c:pt idx="0">
                <c:v>8</c:v>
              </c:pt>
              <c:pt idx="1">
                <c:v>11</c:v>
              </c:pt>
              <c:pt idx="2">
                <c:v>9</c:v>
              </c:pt>
            </c:numLit>
          </c:val>
          <c:extLst>
            <c:ext xmlns:c16="http://schemas.microsoft.com/office/drawing/2014/chart" uri="{C3380CC4-5D6E-409C-BE32-E72D297353CC}">
              <c16:uniqueId val="{00000001-15B6-4F6A-8D1A-D591F8244FAC}"/>
            </c:ext>
          </c:extLst>
        </c:ser>
        <c:ser>
          <c:idx val="2"/>
          <c:order val="2"/>
          <c:tx>
            <c:v>Count of Hashtags Used 3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#LiveForNow</c:v>
              </c:pt>
              <c:pt idx="1">
                <c:v>#PepsiCoRefresh</c:v>
              </c:pt>
              <c:pt idx="2">
                <c:v>#ThirstyForMore</c:v>
              </c:pt>
            </c:strLit>
          </c:cat>
          <c:val>
            <c:numLit>
              <c:formatCode>General</c:formatCode>
              <c:ptCount val="3"/>
              <c:pt idx="0">
                <c:v>5</c:v>
              </c:pt>
              <c:pt idx="1">
                <c:v>2</c:v>
              </c:pt>
              <c:pt idx="2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02-15B6-4F6A-8D1A-D591F8244F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1958047"/>
        <c:axId val="821955135"/>
      </c:barChart>
      <c:catAx>
        <c:axId val="821958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955135"/>
        <c:crosses val="autoZero"/>
        <c:auto val="1"/>
        <c:lblAlgn val="ctr"/>
        <c:lblOffset val="100"/>
        <c:noMultiLvlLbl val="0"/>
      </c:catAx>
      <c:valAx>
        <c:axId val="821955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958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[Pepsico_Project_Riya.xlsx]Task 6!PivotTable15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solidFill>
              <a:srgbClr val="4472C4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'Task 6'!$I$9</c:f>
              <c:strCache>
                <c:ptCount val="1"/>
                <c:pt idx="0">
                  <c:v>Total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14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solidFill>
                <a:srgbClr val="4472C4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'Task 6'!$H$10:$H$14</c:f>
              <c:strCache>
                <c:ptCount val="4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'Task 6'!$I$10:$I$14</c:f>
              <c:numCache>
                <c:formatCode>General</c:formatCode>
                <c:ptCount val="4"/>
                <c:pt idx="0">
                  <c:v>33112</c:v>
                </c:pt>
                <c:pt idx="1">
                  <c:v>33638</c:v>
                </c:pt>
                <c:pt idx="2">
                  <c:v>28522</c:v>
                </c:pt>
                <c:pt idx="3">
                  <c:v>33738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DE-4101-8FFC-0CA381A8A78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1986531951"/>
        <c:axId val="1905477007"/>
      </c:lineChart>
      <c:catAx>
        <c:axId val="1986531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477007"/>
        <c:crosses val="autoZero"/>
        <c:auto val="1"/>
        <c:lblAlgn val="ctr"/>
        <c:lblOffset val="100"/>
        <c:noMultiLvlLbl val="0"/>
      </c:catAx>
      <c:valAx>
        <c:axId val="190547700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86531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[Pepsico_Project_Riya.xlsx]Task 6!PivotTable15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solidFill>
              <a:srgbClr val="4472C4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UpDiag">
            <a:fgClr>
              <a:schemeClr val="accent1"/>
            </a:fgClr>
            <a:bgClr>
              <a:schemeClr val="lt1"/>
            </a:bgClr>
          </a:pattFill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solidFill>
              <a:srgbClr val="4472C4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solidFill>
              <a:srgbClr val="4472C4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'Task 6'!$I$9</c:f>
              <c:strCache>
                <c:ptCount val="1"/>
                <c:pt idx="0">
                  <c:v>Total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14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solidFill>
                <a:srgbClr val="4472C4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28575" cap="rnd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trendlineType val="linear"/>
            <c:dispRSqr val="0"/>
            <c:dispEq val="0"/>
          </c:trendline>
          <c:trendline>
            <c:spPr>
              <a:ln w="28575" cap="rnd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trendlineType val="movingAvg"/>
            <c:period val="3"/>
            <c:dispRSqr val="0"/>
            <c:dispEq val="0"/>
          </c:trendline>
          <c:cat>
            <c:strRef>
              <c:f>'Task 6'!$H$10:$H$14</c:f>
              <c:strCache>
                <c:ptCount val="4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'Task 6'!$I$10:$I$14</c:f>
              <c:numCache>
                <c:formatCode>General</c:formatCode>
                <c:ptCount val="4"/>
                <c:pt idx="0">
                  <c:v>33112</c:v>
                </c:pt>
                <c:pt idx="1">
                  <c:v>33638</c:v>
                </c:pt>
                <c:pt idx="2">
                  <c:v>28522</c:v>
                </c:pt>
                <c:pt idx="3">
                  <c:v>33738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BB-41B2-9C7C-2886825B15B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1986531951"/>
        <c:axId val="1905477007"/>
      </c:lineChart>
      <c:catAx>
        <c:axId val="1986531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477007"/>
        <c:crosses val="autoZero"/>
        <c:auto val="1"/>
        <c:lblAlgn val="ctr"/>
        <c:lblOffset val="100"/>
        <c:noMultiLvlLbl val="0"/>
      </c:catAx>
      <c:valAx>
        <c:axId val="190547700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86531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'Task 6'!$E$5</c:f>
              <c:strCache>
                <c:ptCount val="1"/>
                <c:pt idx="0">
                  <c:v>Ad_Spend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trendline>
            <c:spPr>
              <a:ln w="28575" cap="rnd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trendlineType val="linear"/>
            <c:dispRSqr val="0"/>
            <c:dispEq val="0"/>
          </c:trendline>
          <c:xVal>
            <c:numRef>
              <c:f>'Task 6'!$C$6:$C$168</c:f>
              <c:numCache>
                <c:formatCode>General</c:formatCode>
                <c:ptCount val="163"/>
                <c:pt idx="0">
                  <c:v>1047</c:v>
                </c:pt>
                <c:pt idx="1">
                  <c:v>1002</c:v>
                </c:pt>
                <c:pt idx="2">
                  <c:v>415</c:v>
                </c:pt>
                <c:pt idx="3">
                  <c:v>1090</c:v>
                </c:pt>
                <c:pt idx="4">
                  <c:v>517</c:v>
                </c:pt>
                <c:pt idx="5">
                  <c:v>1283</c:v>
                </c:pt>
                <c:pt idx="6">
                  <c:v>186</c:v>
                </c:pt>
                <c:pt idx="7">
                  <c:v>994</c:v>
                </c:pt>
                <c:pt idx="8">
                  <c:v>893</c:v>
                </c:pt>
                <c:pt idx="9">
                  <c:v>1382</c:v>
                </c:pt>
                <c:pt idx="10">
                  <c:v>1295</c:v>
                </c:pt>
                <c:pt idx="11">
                  <c:v>337</c:v>
                </c:pt>
                <c:pt idx="12">
                  <c:v>629</c:v>
                </c:pt>
                <c:pt idx="13">
                  <c:v>835</c:v>
                </c:pt>
                <c:pt idx="14">
                  <c:v>-123</c:v>
                </c:pt>
                <c:pt idx="15">
                  <c:v>-219</c:v>
                </c:pt>
                <c:pt idx="16">
                  <c:v>64</c:v>
                </c:pt>
                <c:pt idx="17">
                  <c:v>1357</c:v>
                </c:pt>
                <c:pt idx="18">
                  <c:v>91</c:v>
                </c:pt>
                <c:pt idx="19">
                  <c:v>1672</c:v>
                </c:pt>
                <c:pt idx="20">
                  <c:v>309</c:v>
                </c:pt>
                <c:pt idx="21">
                  <c:v>547</c:v>
                </c:pt>
                <c:pt idx="22">
                  <c:v>514</c:v>
                </c:pt>
                <c:pt idx="23">
                  <c:v>-164</c:v>
                </c:pt>
                <c:pt idx="24">
                  <c:v>429</c:v>
                </c:pt>
                <c:pt idx="25">
                  <c:v>160</c:v>
                </c:pt>
                <c:pt idx="26">
                  <c:v>159</c:v>
                </c:pt>
                <c:pt idx="27">
                  <c:v>1316</c:v>
                </c:pt>
                <c:pt idx="28">
                  <c:v>317</c:v>
                </c:pt>
                <c:pt idx="29">
                  <c:v>541</c:v>
                </c:pt>
                <c:pt idx="30">
                  <c:v>-318</c:v>
                </c:pt>
                <c:pt idx="31">
                  <c:v>1495</c:v>
                </c:pt>
                <c:pt idx="32">
                  <c:v>475</c:v>
                </c:pt>
                <c:pt idx="33">
                  <c:v>352</c:v>
                </c:pt>
                <c:pt idx="34">
                  <c:v>-197</c:v>
                </c:pt>
                <c:pt idx="35">
                  <c:v>319</c:v>
                </c:pt>
                <c:pt idx="36">
                  <c:v>1325</c:v>
                </c:pt>
                <c:pt idx="37">
                  <c:v>37</c:v>
                </c:pt>
                <c:pt idx="38">
                  <c:v>76</c:v>
                </c:pt>
                <c:pt idx="39">
                  <c:v>1058</c:v>
                </c:pt>
                <c:pt idx="40">
                  <c:v>1609</c:v>
                </c:pt>
                <c:pt idx="41">
                  <c:v>37</c:v>
                </c:pt>
                <c:pt idx="42">
                  <c:v>1229</c:v>
                </c:pt>
                <c:pt idx="43">
                  <c:v>28</c:v>
                </c:pt>
                <c:pt idx="44">
                  <c:v>1045</c:v>
                </c:pt>
                <c:pt idx="45">
                  <c:v>197</c:v>
                </c:pt>
                <c:pt idx="46">
                  <c:v>333</c:v>
                </c:pt>
                <c:pt idx="47">
                  <c:v>1572</c:v>
                </c:pt>
                <c:pt idx="48">
                  <c:v>1428</c:v>
                </c:pt>
                <c:pt idx="49">
                  <c:v>1100</c:v>
                </c:pt>
                <c:pt idx="50">
                  <c:v>377</c:v>
                </c:pt>
                <c:pt idx="51">
                  <c:v>98</c:v>
                </c:pt>
                <c:pt idx="52">
                  <c:v>1125</c:v>
                </c:pt>
                <c:pt idx="53">
                  <c:v>-32</c:v>
                </c:pt>
                <c:pt idx="54">
                  <c:v>-19</c:v>
                </c:pt>
                <c:pt idx="55">
                  <c:v>1680</c:v>
                </c:pt>
                <c:pt idx="56">
                  <c:v>1025</c:v>
                </c:pt>
                <c:pt idx="57">
                  <c:v>599</c:v>
                </c:pt>
                <c:pt idx="58">
                  <c:v>1706</c:v>
                </c:pt>
                <c:pt idx="59">
                  <c:v>1872</c:v>
                </c:pt>
                <c:pt idx="60">
                  <c:v>1662</c:v>
                </c:pt>
                <c:pt idx="61">
                  <c:v>107</c:v>
                </c:pt>
                <c:pt idx="62">
                  <c:v>118</c:v>
                </c:pt>
                <c:pt idx="63">
                  <c:v>285</c:v>
                </c:pt>
                <c:pt idx="64">
                  <c:v>-20</c:v>
                </c:pt>
                <c:pt idx="65">
                  <c:v>262</c:v>
                </c:pt>
                <c:pt idx="66">
                  <c:v>439</c:v>
                </c:pt>
                <c:pt idx="67">
                  <c:v>1484</c:v>
                </c:pt>
                <c:pt idx="68">
                  <c:v>576</c:v>
                </c:pt>
                <c:pt idx="69">
                  <c:v>386</c:v>
                </c:pt>
                <c:pt idx="70">
                  <c:v>37</c:v>
                </c:pt>
                <c:pt idx="71">
                  <c:v>1657</c:v>
                </c:pt>
                <c:pt idx="72">
                  <c:v>540</c:v>
                </c:pt>
                <c:pt idx="73">
                  <c:v>1603</c:v>
                </c:pt>
                <c:pt idx="74">
                  <c:v>1044</c:v>
                </c:pt>
                <c:pt idx="75">
                  <c:v>902</c:v>
                </c:pt>
                <c:pt idx="76">
                  <c:v>-106</c:v>
                </c:pt>
                <c:pt idx="77">
                  <c:v>1150</c:v>
                </c:pt>
                <c:pt idx="78">
                  <c:v>-49</c:v>
                </c:pt>
                <c:pt idx="79">
                  <c:v>72</c:v>
                </c:pt>
                <c:pt idx="80">
                  <c:v>445</c:v>
                </c:pt>
                <c:pt idx="81">
                  <c:v>1693</c:v>
                </c:pt>
                <c:pt idx="82">
                  <c:v>1332</c:v>
                </c:pt>
                <c:pt idx="83">
                  <c:v>98</c:v>
                </c:pt>
                <c:pt idx="84">
                  <c:v>885</c:v>
                </c:pt>
                <c:pt idx="85">
                  <c:v>1625</c:v>
                </c:pt>
                <c:pt idx="86">
                  <c:v>1706</c:v>
                </c:pt>
                <c:pt idx="87">
                  <c:v>291</c:v>
                </c:pt>
                <c:pt idx="88">
                  <c:v>1119</c:v>
                </c:pt>
                <c:pt idx="89">
                  <c:v>1373</c:v>
                </c:pt>
                <c:pt idx="90">
                  <c:v>1727</c:v>
                </c:pt>
                <c:pt idx="91">
                  <c:v>573</c:v>
                </c:pt>
                <c:pt idx="92">
                  <c:v>1432</c:v>
                </c:pt>
                <c:pt idx="93">
                  <c:v>1377</c:v>
                </c:pt>
                <c:pt idx="94">
                  <c:v>1359</c:v>
                </c:pt>
                <c:pt idx="95">
                  <c:v>684</c:v>
                </c:pt>
                <c:pt idx="96">
                  <c:v>730</c:v>
                </c:pt>
                <c:pt idx="97">
                  <c:v>1589</c:v>
                </c:pt>
                <c:pt idx="98">
                  <c:v>1776</c:v>
                </c:pt>
                <c:pt idx="99">
                  <c:v>1529</c:v>
                </c:pt>
                <c:pt idx="100">
                  <c:v>1460</c:v>
                </c:pt>
                <c:pt idx="101">
                  <c:v>903</c:v>
                </c:pt>
                <c:pt idx="102">
                  <c:v>1188</c:v>
                </c:pt>
                <c:pt idx="103">
                  <c:v>298</c:v>
                </c:pt>
                <c:pt idx="104">
                  <c:v>-144</c:v>
                </c:pt>
                <c:pt idx="105">
                  <c:v>901</c:v>
                </c:pt>
                <c:pt idx="106">
                  <c:v>1572</c:v>
                </c:pt>
                <c:pt idx="107">
                  <c:v>427</c:v>
                </c:pt>
                <c:pt idx="108">
                  <c:v>891</c:v>
                </c:pt>
                <c:pt idx="109">
                  <c:v>724</c:v>
                </c:pt>
                <c:pt idx="110">
                  <c:v>898</c:v>
                </c:pt>
                <c:pt idx="111">
                  <c:v>1426</c:v>
                </c:pt>
                <c:pt idx="112">
                  <c:v>1225</c:v>
                </c:pt>
                <c:pt idx="113">
                  <c:v>748</c:v>
                </c:pt>
                <c:pt idx="114">
                  <c:v>569</c:v>
                </c:pt>
                <c:pt idx="115">
                  <c:v>-203</c:v>
                </c:pt>
                <c:pt idx="116">
                  <c:v>1723</c:v>
                </c:pt>
                <c:pt idx="117">
                  <c:v>1202</c:v>
                </c:pt>
                <c:pt idx="118">
                  <c:v>1444</c:v>
                </c:pt>
                <c:pt idx="119">
                  <c:v>965</c:v>
                </c:pt>
                <c:pt idx="120">
                  <c:v>1590</c:v>
                </c:pt>
                <c:pt idx="121">
                  <c:v>-37</c:v>
                </c:pt>
                <c:pt idx="122">
                  <c:v>1175</c:v>
                </c:pt>
                <c:pt idx="123">
                  <c:v>1375</c:v>
                </c:pt>
                <c:pt idx="124">
                  <c:v>1707</c:v>
                </c:pt>
                <c:pt idx="125">
                  <c:v>708</c:v>
                </c:pt>
                <c:pt idx="126">
                  <c:v>1016</c:v>
                </c:pt>
                <c:pt idx="127">
                  <c:v>1315</c:v>
                </c:pt>
                <c:pt idx="128">
                  <c:v>-119</c:v>
                </c:pt>
                <c:pt idx="129">
                  <c:v>899</c:v>
                </c:pt>
                <c:pt idx="130">
                  <c:v>212</c:v>
                </c:pt>
                <c:pt idx="131">
                  <c:v>1350</c:v>
                </c:pt>
                <c:pt idx="132">
                  <c:v>1242</c:v>
                </c:pt>
                <c:pt idx="133">
                  <c:v>680</c:v>
                </c:pt>
                <c:pt idx="134">
                  <c:v>1116</c:v>
                </c:pt>
                <c:pt idx="135">
                  <c:v>1385</c:v>
                </c:pt>
                <c:pt idx="136">
                  <c:v>461</c:v>
                </c:pt>
                <c:pt idx="137">
                  <c:v>474</c:v>
                </c:pt>
                <c:pt idx="138">
                  <c:v>292</c:v>
                </c:pt>
                <c:pt idx="139">
                  <c:v>389</c:v>
                </c:pt>
                <c:pt idx="140">
                  <c:v>641</c:v>
                </c:pt>
                <c:pt idx="141">
                  <c:v>1676</c:v>
                </c:pt>
                <c:pt idx="142">
                  <c:v>1467</c:v>
                </c:pt>
                <c:pt idx="143">
                  <c:v>167</c:v>
                </c:pt>
                <c:pt idx="144">
                  <c:v>1029</c:v>
                </c:pt>
                <c:pt idx="145">
                  <c:v>209</c:v>
                </c:pt>
                <c:pt idx="146">
                  <c:v>-160</c:v>
                </c:pt>
                <c:pt idx="147">
                  <c:v>-175</c:v>
                </c:pt>
                <c:pt idx="148">
                  <c:v>53</c:v>
                </c:pt>
                <c:pt idx="149">
                  <c:v>145</c:v>
                </c:pt>
                <c:pt idx="150">
                  <c:v>1045</c:v>
                </c:pt>
                <c:pt idx="151">
                  <c:v>759</c:v>
                </c:pt>
                <c:pt idx="152">
                  <c:v>1633</c:v>
                </c:pt>
                <c:pt idx="153">
                  <c:v>1539</c:v>
                </c:pt>
                <c:pt idx="154">
                  <c:v>948</c:v>
                </c:pt>
                <c:pt idx="155">
                  <c:v>1881</c:v>
                </c:pt>
                <c:pt idx="156">
                  <c:v>339</c:v>
                </c:pt>
                <c:pt idx="157">
                  <c:v>1510</c:v>
                </c:pt>
                <c:pt idx="158">
                  <c:v>864</c:v>
                </c:pt>
                <c:pt idx="159">
                  <c:v>1656</c:v>
                </c:pt>
                <c:pt idx="160">
                  <c:v>407</c:v>
                </c:pt>
                <c:pt idx="161">
                  <c:v>269</c:v>
                </c:pt>
                <c:pt idx="162">
                  <c:v>-337</c:v>
                </c:pt>
              </c:numCache>
            </c:numRef>
          </c:xVal>
          <c:yVal>
            <c:numRef>
              <c:f>'Task 6'!$E$6:$E$168</c:f>
              <c:numCache>
                <c:formatCode>General</c:formatCode>
                <c:ptCount val="163"/>
                <c:pt idx="0">
                  <c:v>5904</c:v>
                </c:pt>
                <c:pt idx="1">
                  <c:v>9566</c:v>
                </c:pt>
                <c:pt idx="2">
                  <c:v>26752</c:v>
                </c:pt>
                <c:pt idx="3">
                  <c:v>30671</c:v>
                </c:pt>
                <c:pt idx="4">
                  <c:v>9920</c:v>
                </c:pt>
                <c:pt idx="5">
                  <c:v>7924</c:v>
                </c:pt>
                <c:pt idx="6">
                  <c:v>8912</c:v>
                </c:pt>
                <c:pt idx="7">
                  <c:v>21205</c:v>
                </c:pt>
                <c:pt idx="8">
                  <c:v>11329</c:v>
                </c:pt>
                <c:pt idx="9">
                  <c:v>46670</c:v>
                </c:pt>
                <c:pt idx="10">
                  <c:v>22482</c:v>
                </c:pt>
                <c:pt idx="11">
                  <c:v>24313</c:v>
                </c:pt>
                <c:pt idx="12">
                  <c:v>18050</c:v>
                </c:pt>
                <c:pt idx="13">
                  <c:v>30635</c:v>
                </c:pt>
                <c:pt idx="14">
                  <c:v>31280</c:v>
                </c:pt>
                <c:pt idx="15">
                  <c:v>1783</c:v>
                </c:pt>
                <c:pt idx="16">
                  <c:v>9566</c:v>
                </c:pt>
                <c:pt idx="17">
                  <c:v>42307</c:v>
                </c:pt>
                <c:pt idx="18">
                  <c:v>5914</c:v>
                </c:pt>
                <c:pt idx="19">
                  <c:v>30060</c:v>
                </c:pt>
                <c:pt idx="20">
                  <c:v>22728</c:v>
                </c:pt>
                <c:pt idx="21">
                  <c:v>38610</c:v>
                </c:pt>
                <c:pt idx="22">
                  <c:v>2932</c:v>
                </c:pt>
                <c:pt idx="23">
                  <c:v>15071</c:v>
                </c:pt>
                <c:pt idx="24">
                  <c:v>10740</c:v>
                </c:pt>
                <c:pt idx="25">
                  <c:v>43420</c:v>
                </c:pt>
                <c:pt idx="26">
                  <c:v>32393</c:v>
                </c:pt>
                <c:pt idx="27">
                  <c:v>28474</c:v>
                </c:pt>
                <c:pt idx="28">
                  <c:v>17328</c:v>
                </c:pt>
                <c:pt idx="29">
                  <c:v>26067</c:v>
                </c:pt>
                <c:pt idx="30">
                  <c:v>32763</c:v>
                </c:pt>
                <c:pt idx="31">
                  <c:v>26452</c:v>
                </c:pt>
                <c:pt idx="32">
                  <c:v>15353</c:v>
                </c:pt>
                <c:pt idx="33">
                  <c:v>4839</c:v>
                </c:pt>
                <c:pt idx="34">
                  <c:v>39272</c:v>
                </c:pt>
                <c:pt idx="35">
                  <c:v>16804</c:v>
                </c:pt>
                <c:pt idx="36">
                  <c:v>49303</c:v>
                </c:pt>
                <c:pt idx="37">
                  <c:v>26455</c:v>
                </c:pt>
                <c:pt idx="38">
                  <c:v>12384</c:v>
                </c:pt>
                <c:pt idx="39">
                  <c:v>49372</c:v>
                </c:pt>
                <c:pt idx="40">
                  <c:v>47101</c:v>
                </c:pt>
                <c:pt idx="41">
                  <c:v>37903</c:v>
                </c:pt>
                <c:pt idx="42">
                  <c:v>33258</c:v>
                </c:pt>
                <c:pt idx="43">
                  <c:v>6915</c:v>
                </c:pt>
                <c:pt idx="44">
                  <c:v>35501</c:v>
                </c:pt>
                <c:pt idx="45">
                  <c:v>14203</c:v>
                </c:pt>
                <c:pt idx="46">
                  <c:v>22206</c:v>
                </c:pt>
                <c:pt idx="47">
                  <c:v>10283</c:v>
                </c:pt>
                <c:pt idx="48">
                  <c:v>24913</c:v>
                </c:pt>
                <c:pt idx="49">
                  <c:v>26925</c:v>
                </c:pt>
                <c:pt idx="50">
                  <c:v>9942</c:v>
                </c:pt>
                <c:pt idx="51">
                  <c:v>32929</c:v>
                </c:pt>
                <c:pt idx="52">
                  <c:v>37829</c:v>
                </c:pt>
                <c:pt idx="53">
                  <c:v>24384</c:v>
                </c:pt>
                <c:pt idx="54">
                  <c:v>25797</c:v>
                </c:pt>
                <c:pt idx="55">
                  <c:v>12646</c:v>
                </c:pt>
                <c:pt idx="56">
                  <c:v>26663</c:v>
                </c:pt>
                <c:pt idx="57">
                  <c:v>40478</c:v>
                </c:pt>
                <c:pt idx="58">
                  <c:v>15476</c:v>
                </c:pt>
                <c:pt idx="59">
                  <c:v>10217</c:v>
                </c:pt>
                <c:pt idx="60">
                  <c:v>21939</c:v>
                </c:pt>
                <c:pt idx="61">
                  <c:v>47462</c:v>
                </c:pt>
                <c:pt idx="62">
                  <c:v>30270</c:v>
                </c:pt>
                <c:pt idx="63">
                  <c:v>5442</c:v>
                </c:pt>
                <c:pt idx="64">
                  <c:v>1083</c:v>
                </c:pt>
                <c:pt idx="65">
                  <c:v>11901</c:v>
                </c:pt>
                <c:pt idx="66">
                  <c:v>24018</c:v>
                </c:pt>
                <c:pt idx="67">
                  <c:v>38883</c:v>
                </c:pt>
                <c:pt idx="68">
                  <c:v>30575</c:v>
                </c:pt>
                <c:pt idx="69">
                  <c:v>2315</c:v>
                </c:pt>
                <c:pt idx="70">
                  <c:v>12148</c:v>
                </c:pt>
                <c:pt idx="71">
                  <c:v>36851</c:v>
                </c:pt>
                <c:pt idx="72">
                  <c:v>41215</c:v>
                </c:pt>
                <c:pt idx="73">
                  <c:v>43836</c:v>
                </c:pt>
                <c:pt idx="74">
                  <c:v>4509</c:v>
                </c:pt>
                <c:pt idx="75">
                  <c:v>27822</c:v>
                </c:pt>
                <c:pt idx="76">
                  <c:v>36397</c:v>
                </c:pt>
                <c:pt idx="77">
                  <c:v>7285</c:v>
                </c:pt>
                <c:pt idx="78">
                  <c:v>33174</c:v>
                </c:pt>
                <c:pt idx="79">
                  <c:v>6742</c:v>
                </c:pt>
                <c:pt idx="80">
                  <c:v>32478</c:v>
                </c:pt>
                <c:pt idx="81">
                  <c:v>42824</c:v>
                </c:pt>
                <c:pt idx="82">
                  <c:v>21208</c:v>
                </c:pt>
                <c:pt idx="83">
                  <c:v>44321</c:v>
                </c:pt>
                <c:pt idx="84">
                  <c:v>13116</c:v>
                </c:pt>
                <c:pt idx="85">
                  <c:v>30214</c:v>
                </c:pt>
                <c:pt idx="86">
                  <c:v>15827</c:v>
                </c:pt>
                <c:pt idx="87">
                  <c:v>46643</c:v>
                </c:pt>
                <c:pt idx="88">
                  <c:v>36484</c:v>
                </c:pt>
                <c:pt idx="89">
                  <c:v>4996</c:v>
                </c:pt>
                <c:pt idx="90">
                  <c:v>36095</c:v>
                </c:pt>
                <c:pt idx="91">
                  <c:v>16443</c:v>
                </c:pt>
                <c:pt idx="92">
                  <c:v>47812</c:v>
                </c:pt>
                <c:pt idx="93">
                  <c:v>38452</c:v>
                </c:pt>
                <c:pt idx="94">
                  <c:v>30428</c:v>
                </c:pt>
                <c:pt idx="95">
                  <c:v>9269</c:v>
                </c:pt>
                <c:pt idx="96">
                  <c:v>29533</c:v>
                </c:pt>
                <c:pt idx="97">
                  <c:v>39997</c:v>
                </c:pt>
                <c:pt idx="98">
                  <c:v>5391</c:v>
                </c:pt>
                <c:pt idx="99">
                  <c:v>22373</c:v>
                </c:pt>
                <c:pt idx="100">
                  <c:v>1810</c:v>
                </c:pt>
                <c:pt idx="101">
                  <c:v>28498</c:v>
                </c:pt>
                <c:pt idx="102">
                  <c:v>39530</c:v>
                </c:pt>
                <c:pt idx="103">
                  <c:v>37876</c:v>
                </c:pt>
                <c:pt idx="104">
                  <c:v>36103</c:v>
                </c:pt>
                <c:pt idx="105">
                  <c:v>26103</c:v>
                </c:pt>
                <c:pt idx="106">
                  <c:v>3455</c:v>
                </c:pt>
                <c:pt idx="107">
                  <c:v>40888</c:v>
                </c:pt>
                <c:pt idx="108">
                  <c:v>22724</c:v>
                </c:pt>
                <c:pt idx="109">
                  <c:v>18601</c:v>
                </c:pt>
                <c:pt idx="110">
                  <c:v>20861</c:v>
                </c:pt>
                <c:pt idx="111">
                  <c:v>46625</c:v>
                </c:pt>
                <c:pt idx="112">
                  <c:v>20692</c:v>
                </c:pt>
                <c:pt idx="113">
                  <c:v>18656</c:v>
                </c:pt>
                <c:pt idx="114">
                  <c:v>13316</c:v>
                </c:pt>
                <c:pt idx="115">
                  <c:v>49558</c:v>
                </c:pt>
                <c:pt idx="116">
                  <c:v>4683</c:v>
                </c:pt>
                <c:pt idx="117">
                  <c:v>47502</c:v>
                </c:pt>
                <c:pt idx="118">
                  <c:v>35359</c:v>
                </c:pt>
                <c:pt idx="119">
                  <c:v>14154</c:v>
                </c:pt>
                <c:pt idx="120">
                  <c:v>4313</c:v>
                </c:pt>
                <c:pt idx="121">
                  <c:v>25140</c:v>
                </c:pt>
                <c:pt idx="122">
                  <c:v>9118</c:v>
                </c:pt>
                <c:pt idx="123">
                  <c:v>39931</c:v>
                </c:pt>
                <c:pt idx="124">
                  <c:v>37132</c:v>
                </c:pt>
                <c:pt idx="125">
                  <c:v>17951</c:v>
                </c:pt>
                <c:pt idx="126">
                  <c:v>2798</c:v>
                </c:pt>
                <c:pt idx="127">
                  <c:v>15045</c:v>
                </c:pt>
                <c:pt idx="128">
                  <c:v>14548</c:v>
                </c:pt>
                <c:pt idx="129">
                  <c:v>45708</c:v>
                </c:pt>
                <c:pt idx="130">
                  <c:v>12350</c:v>
                </c:pt>
                <c:pt idx="131">
                  <c:v>40868</c:v>
                </c:pt>
                <c:pt idx="132">
                  <c:v>43122</c:v>
                </c:pt>
                <c:pt idx="133">
                  <c:v>23853</c:v>
                </c:pt>
                <c:pt idx="134">
                  <c:v>45380</c:v>
                </c:pt>
                <c:pt idx="135">
                  <c:v>7705</c:v>
                </c:pt>
                <c:pt idx="136">
                  <c:v>25525</c:v>
                </c:pt>
                <c:pt idx="137">
                  <c:v>20560</c:v>
                </c:pt>
                <c:pt idx="138">
                  <c:v>19119</c:v>
                </c:pt>
                <c:pt idx="139">
                  <c:v>43999</c:v>
                </c:pt>
                <c:pt idx="140">
                  <c:v>10825</c:v>
                </c:pt>
                <c:pt idx="141">
                  <c:v>40323</c:v>
                </c:pt>
                <c:pt idx="142">
                  <c:v>48270</c:v>
                </c:pt>
                <c:pt idx="143">
                  <c:v>18001</c:v>
                </c:pt>
                <c:pt idx="144">
                  <c:v>3314</c:v>
                </c:pt>
                <c:pt idx="145">
                  <c:v>23489</c:v>
                </c:pt>
                <c:pt idx="146">
                  <c:v>42832</c:v>
                </c:pt>
                <c:pt idx="147">
                  <c:v>24494</c:v>
                </c:pt>
                <c:pt idx="148">
                  <c:v>44097</c:v>
                </c:pt>
                <c:pt idx="149">
                  <c:v>31853</c:v>
                </c:pt>
                <c:pt idx="150">
                  <c:v>37636</c:v>
                </c:pt>
                <c:pt idx="151">
                  <c:v>22996</c:v>
                </c:pt>
                <c:pt idx="152">
                  <c:v>49772</c:v>
                </c:pt>
                <c:pt idx="153">
                  <c:v>22713</c:v>
                </c:pt>
                <c:pt idx="154">
                  <c:v>8718</c:v>
                </c:pt>
                <c:pt idx="155">
                  <c:v>39031</c:v>
                </c:pt>
                <c:pt idx="156">
                  <c:v>33799</c:v>
                </c:pt>
                <c:pt idx="157">
                  <c:v>20553</c:v>
                </c:pt>
                <c:pt idx="158">
                  <c:v>10002</c:v>
                </c:pt>
                <c:pt idx="159">
                  <c:v>30987</c:v>
                </c:pt>
                <c:pt idx="160">
                  <c:v>6296</c:v>
                </c:pt>
                <c:pt idx="161">
                  <c:v>21539</c:v>
                </c:pt>
                <c:pt idx="162">
                  <c:v>14722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1D-423F-A775-D9132737A4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7590015"/>
        <c:axId val="1977589183"/>
      </c:scatterChart>
      <c:valAx>
        <c:axId val="1977590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7589183"/>
        <c:crosses val="autoZero"/>
        <c:crossBetween val="midCat"/>
      </c:valAx>
      <c:valAx>
        <c:axId val="1977589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75900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1203960</xdr:colOff>
      <xdr:row>2</xdr:row>
      <xdr:rowOff>87630</xdr:rowOff>
    </xdr:from>
    <xdr:to>
      <xdr:col>15</xdr:col>
      <xdr:colOff>60960</xdr:colOff>
      <xdr:row>17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07311A-50FE-47B4-A619-5CED98AEA3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899160</xdr:colOff>
      <xdr:row>3</xdr:row>
      <xdr:rowOff>102870</xdr:rowOff>
    </xdr:from>
    <xdr:to>
      <xdr:col>14</xdr:col>
      <xdr:colOff>876300</xdr:colOff>
      <xdr:row>18</xdr:row>
      <xdr:rowOff>102870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9CA8DE9-4767-4B13-899C-A41AAE11DD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1051560</xdr:colOff>
      <xdr:row>27</xdr:row>
      <xdr:rowOff>175260</xdr:rowOff>
    </xdr:from>
    <xdr:to>
      <xdr:col>15</xdr:col>
      <xdr:colOff>68580</xdr:colOff>
      <xdr:row>46</xdr:row>
      <xdr:rowOff>99060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3463EA6-ED2C-499E-8413-B95D74C96F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7620</xdr:colOff>
      <xdr:row>54</xdr:row>
      <xdr:rowOff>171450</xdr:rowOff>
    </xdr:from>
    <xdr:to>
      <xdr:col>15</xdr:col>
      <xdr:colOff>30480</xdr:colOff>
      <xdr:row>74</xdr:row>
      <xdr:rowOff>160020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158AC75-6E7C-4398-97BB-9F3BD15460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trusudan Sharma" refreshedDate="46039.867033564813" createdVersion="7" refreshedVersion="7" minRefreshableVersion="3" recordCount="300" xr:uid="{F9F365ED-6553-4386-8E75-1F8B4DB3775B}">
  <cacheSource type="worksheet">
    <worksheetSource ref="A3:F303" sheet="Task 2"/>
  </cacheSource>
  <cacheFields count="6">
    <cacheField name="Likes" numFmtId="0">
      <sharedItems containsSemiMixedTypes="0" containsString="0" containsNumber="1" containsInteger="1" minValue="53" maxValue="4941" count="293">
        <n v="1461"/>
        <n v="4054"/>
        <n v="2795"/>
        <n v="2404"/>
        <n v="3557"/>
        <n v="2945"/>
        <n v="3860"/>
        <n v="3929"/>
        <n v="3784"/>
        <n v="4241"/>
        <n v="1792"/>
        <n v="1946"/>
        <n v="1171"/>
        <n v="4242"/>
        <n v="3888"/>
        <n v="3452"/>
        <n v="4441"/>
        <n v="3000"/>
        <n v="1071"/>
        <n v="4838"/>
        <n v="1570"/>
        <n v="1606"/>
        <n v="3961"/>
        <n v="3128"/>
        <n v="3009"/>
        <n v="2076"/>
        <n v="432"/>
        <n v="2566"/>
        <n v="3095"/>
        <n v="438"/>
        <n v="2278"/>
        <n v="1407"/>
        <n v="1652"/>
        <n v="3775"/>
        <n v="4518"/>
        <n v="3024"/>
        <n v="3138"/>
        <n v="3564"/>
        <n v="4750"/>
        <n v="456"/>
        <n v="1543"/>
        <n v="2174"/>
        <n v="2358"/>
        <n v="3371"/>
        <n v="1108"/>
        <n v="2704"/>
        <n v="1950"/>
        <n v="2164"/>
        <n v="2754"/>
        <n v="2200"/>
        <n v="947"/>
        <n v="804"/>
        <n v="1686"/>
        <n v="1226"/>
        <n v="2946"/>
        <n v="2825"/>
        <n v="103"/>
        <n v="2180"/>
        <n v="904"/>
        <n v="4886"/>
        <n v="53"/>
        <n v="4507"/>
        <n v="2878"/>
        <n v="1881"/>
        <n v="4712"/>
        <n v="2610"/>
        <n v="1292"/>
        <n v="199"/>
        <n v="2551"/>
        <n v="296"/>
        <n v="4126"/>
        <n v="1855"/>
        <n v="1674"/>
        <n v="1121"/>
        <n v="1249"/>
        <n v="954"/>
        <n v="3068"/>
        <n v="2103"/>
        <n v="1816"/>
        <n v="725"/>
        <n v="1094"/>
        <n v="1841"/>
        <n v="4177"/>
        <n v="3428"/>
        <n v="1436"/>
        <n v="302"/>
        <n v="2214"/>
        <n v="3861"/>
        <n v="1263"/>
        <n v="3801"/>
        <n v="1431"/>
        <n v="2647"/>
        <n v="3182"/>
        <n v="1238"/>
        <n v="4739"/>
        <n v="1575"/>
        <n v="4171"/>
        <n v="1766"/>
        <n v="4450"/>
        <n v="1000"/>
        <n v="3689"/>
        <n v="3655"/>
        <n v="498"/>
        <n v="4619"/>
        <n v="4832"/>
        <n v="4050"/>
        <n v="3649"/>
        <n v="3523"/>
        <n v="2719"/>
        <n v="1957"/>
        <n v="4419"/>
        <n v="4000"/>
        <n v="2493"/>
        <n v="3704"/>
        <n v="4551"/>
        <n v="1970"/>
        <n v="780"/>
        <n v="3432"/>
        <n v="4363"/>
        <n v="736"/>
        <n v="3811"/>
        <n v="4158"/>
        <n v="3092"/>
        <n v="2147"/>
        <n v="2936"/>
        <n v="4840"/>
        <n v="1947"/>
        <n v="2072"/>
        <n v="3731"/>
        <n v="4213"/>
        <n v="3134"/>
        <n v="3008"/>
        <n v="305"/>
        <n v="2746"/>
        <n v="2291"/>
        <n v="3170"/>
        <n v="2070"/>
        <n v="80"/>
        <n v="4929"/>
        <n v="1878"/>
        <n v="3065"/>
        <n v="3256"/>
        <n v="4133"/>
        <n v="1702"/>
        <n v="4295"/>
        <n v="3559"/>
        <n v="4804"/>
        <n v="754"/>
        <n v="985"/>
        <n v="2283"/>
        <n v="3352"/>
        <n v="4775"/>
        <n v="1762"/>
        <n v="2120"/>
        <n v="1082"/>
        <n v="4671"/>
        <n v="3430"/>
        <n v="4501"/>
        <n v="4934"/>
        <n v="3239"/>
        <n v="1076"/>
        <n v="4771"/>
        <n v="2418"/>
        <n v="3809"/>
        <n v="3577"/>
        <n v="1018"/>
        <n v="3073"/>
        <n v="1330"/>
        <n v="3828"/>
        <n v="142"/>
        <n v="3798"/>
        <n v="3099"/>
        <n v="129"/>
        <n v="3796"/>
        <n v="3711"/>
        <n v="606"/>
        <n v="4689"/>
        <n v="360"/>
        <n v="3215"/>
        <n v="4523"/>
        <n v="4292"/>
        <n v="1644"/>
        <n v="2728"/>
        <n v="3360"/>
        <n v="1963"/>
        <n v="4285"/>
        <n v="1176"/>
        <n v="4858"/>
        <n v="4350"/>
        <n v="914"/>
        <n v="1813"/>
        <n v="4782"/>
        <n v="1048"/>
        <n v="2509"/>
        <n v="3718"/>
        <n v="802"/>
        <n v="1871"/>
        <n v="3773"/>
        <n v="2234"/>
        <n v="3820"/>
        <n v="941"/>
        <n v="4274"/>
        <n v="2949"/>
        <n v="3160"/>
        <n v="257"/>
        <n v="3874"/>
        <n v="2696"/>
        <n v="521"/>
        <n v="4872"/>
        <n v="1509"/>
        <n v="4606"/>
        <n v="1869"/>
        <n v="1188"/>
        <n v="84"/>
        <n v="4453"/>
        <n v="1814"/>
        <n v="3338"/>
        <n v="602"/>
        <n v="4672"/>
        <n v="1741"/>
        <n v="246"/>
        <n v="4808"/>
        <n v="4799"/>
        <n v="3663"/>
        <n v="1430"/>
        <n v="249"/>
        <n v="2382"/>
        <n v="1272"/>
        <n v="3196"/>
        <n v="1257"/>
        <n v="3770"/>
        <n v="4725"/>
        <n v="4188"/>
        <n v="929"/>
        <n v="4321"/>
        <n v="4767"/>
        <n v="3592"/>
        <n v="4661"/>
        <n v="4134"/>
        <n v="400"/>
        <n v="3960"/>
        <n v="886"/>
        <n v="827"/>
        <n v="3813"/>
        <n v="1377"/>
        <n v="2089"/>
        <n v="3791"/>
        <n v="2692"/>
        <n v="3767"/>
        <n v="2143"/>
        <n v="3090"/>
        <n v="3601"/>
        <n v="562"/>
        <n v="4332"/>
        <n v="4853"/>
        <n v="1206"/>
        <n v="2603"/>
        <n v="59"/>
        <n v="1877"/>
        <n v="4182"/>
        <n v="4187"/>
        <n v="4579"/>
        <n v="4561"/>
        <n v="3774"/>
        <n v="3575"/>
        <n v="4941"/>
        <n v="3641"/>
        <n v="3535"/>
        <n v="1556"/>
        <n v="4236"/>
        <n v="4516"/>
        <n v="4905"/>
        <n v="4275"/>
        <n v="3166"/>
        <n v="1488"/>
        <n v="3367"/>
        <n v="571"/>
        <n v="4021"/>
        <n v="3389"/>
        <n v="1164"/>
        <n v="4780"/>
        <n v="2751"/>
        <n v="2107"/>
        <n v="4663"/>
        <n v="880"/>
        <n v="2634"/>
        <n v="4731"/>
        <n v="1952"/>
        <n v="3440"/>
        <n v="2166"/>
        <n v="4303"/>
        <n v="2581"/>
        <n v="4494"/>
      </sharedItems>
    </cacheField>
    <cacheField name="Shares" numFmtId="0">
      <sharedItems containsSemiMixedTypes="0" containsString="0" containsNumber="1" containsInteger="1" minValue="10" maxValue="983"/>
    </cacheField>
    <cacheField name="Comments" numFmtId="0">
      <sharedItems containsSemiMixedTypes="0" containsString="0" containsNumber="1" containsInteger="1" minValue="7" maxValue="500"/>
    </cacheField>
    <cacheField name="Impressions" numFmtId="0">
      <sharedItems containsSemiMixedTypes="0" containsString="0" containsNumber="1" containsInteger="1" minValue="588" maxValue="98100"/>
    </cacheField>
    <cacheField name="Content Type" numFmtId="0">
      <sharedItems count="6">
        <s v="Reel"/>
        <s v="Text"/>
        <s v="Story"/>
        <s v="Carousel"/>
        <s v="Image"/>
        <s v="Video"/>
      </sharedItems>
    </cacheField>
    <cacheField name="Platform" numFmtId="0">
      <sharedItems count="4">
        <s v="Twitter"/>
        <s v="YouTube"/>
        <s v="Instagram"/>
        <s v="Faceboo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trusudan Sharma" refreshedDate="46040.556978125001" createdVersion="7" refreshedVersion="7" minRefreshableVersion="3" recordCount="300" xr:uid="{1D367410-6D2F-483F-BDD7-72C060CF8207}">
  <cacheSource type="worksheet">
    <worksheetSource ref="G3:J303" sheet="Task 2"/>
  </cacheSource>
  <cacheFields count="4">
    <cacheField name="Clicks" numFmtId="0">
      <sharedItems containsSemiMixedTypes="0" containsString="0" containsNumber="1" containsInteger="1" minValue="10" maxValue="300"/>
    </cacheField>
    <cacheField name="Hashtags Used" numFmtId="0">
      <sharedItems count="3">
        <s v="#LiveForNow"/>
        <s v="#PepsiCoRefresh"/>
        <s v="#ThirstyForMore"/>
      </sharedItems>
    </cacheField>
    <cacheField name="Hashtags 1" numFmtId="0">
      <sharedItems containsBlank="1" count="6">
        <s v="#AnytimeIsPepsiTime"/>
        <s v="#BetterWithPepsi"/>
        <m/>
        <s v="#PepsiCoRefresh"/>
        <s v="#SmoothLikeNitroPepsi"/>
        <s v="#ThirstyForMore"/>
      </sharedItems>
    </cacheField>
    <cacheField name="Hashtags 2" numFmtId="0">
      <sharedItems containsBlank="1" count="4">
        <m/>
        <s v="#AnytimeIsPepsiTime"/>
        <s v="#ThirstyForMore"/>
        <s v="#BetterWithPepsi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trusudan Sharma" refreshedDate="46040.787300115742" createdVersion="7" refreshedVersion="7" minRefreshableVersion="3" recordCount="200" xr:uid="{083F6AC3-D2F0-49BB-BE04-CDC903C8DF1E}">
  <cacheSource type="worksheet">
    <worksheetSource ref="A3:J203" sheet="Task 3"/>
  </cacheSource>
  <cacheFields count="2">
    <cacheField name="Platform" numFmtId="0">
      <sharedItems count="4">
        <s v="Instagram"/>
        <s v="Facebook"/>
        <s v="Twitter"/>
        <s v="YouTube"/>
      </sharedItems>
    </cacheField>
    <cacheField name="Engagement_Rate" numFmtId="0">
      <sharedItems containsSemiMixedTypes="0" containsString="0" containsNumber="1" minValue="1.53" maxValue="9.48" count="172">
        <n v="8.06"/>
        <n v="4.9800000000000004"/>
        <n v="8.31"/>
        <n v="4.1100000000000003"/>
        <n v="9.0500000000000007"/>
        <n v="2.37"/>
        <n v="4.01"/>
        <n v="3.16"/>
        <n v="2.46"/>
        <n v="8.11"/>
        <n v="8.19"/>
        <n v="3.49"/>
        <n v="6.92"/>
        <n v="9.1199999999999992"/>
        <n v="3.5"/>
        <n v="2.62"/>
        <n v="9.36"/>
        <n v="4.4800000000000004"/>
        <n v="6.19"/>
        <n v="8.7200000000000006"/>
        <n v="8.74"/>
        <n v="1.91"/>
        <n v="4.66"/>
        <n v="2.88"/>
        <n v="3.74"/>
        <n v="6.44"/>
        <n v="8.56"/>
        <n v="4.5599999999999996"/>
        <n v="7.88"/>
        <n v="7.86"/>
        <n v="5.34"/>
        <n v="5.52"/>
        <n v="4.05"/>
        <n v="7.73"/>
        <n v="4.3600000000000003"/>
        <n v="3.48"/>
        <n v="7.83"/>
        <n v="6.11"/>
        <n v="9.43"/>
        <n v="4.04"/>
        <n v="6.23"/>
        <n v="6.01"/>
        <n v="8.5500000000000007"/>
        <n v="5.42"/>
        <n v="3.25"/>
        <n v="8.84"/>
        <n v="7.24"/>
        <n v="5.71"/>
        <n v="9.0399999999999991"/>
        <n v="3.91"/>
        <n v="7.16"/>
        <n v="6.41"/>
        <n v="8.02"/>
        <n v="3.86"/>
        <n v="9.09"/>
        <n v="1.76"/>
        <n v="9.24"/>
        <n v="8.99"/>
        <n v="3.4"/>
        <n v="9.1999999999999993"/>
        <n v="8.59"/>
        <n v="2.36"/>
        <n v="7.36"/>
        <n v="8.1300000000000008"/>
        <n v="3.3"/>
        <n v="1.77"/>
        <n v="2.09"/>
        <n v="6.25"/>
        <n v="1.75"/>
        <n v="4.97"/>
        <n v="9.3000000000000007"/>
        <n v="8.9"/>
        <n v="3.88"/>
        <n v="5.9"/>
        <n v="1.53"/>
        <n v="6.5"/>
        <n v="8.25"/>
        <n v="5.41"/>
        <n v="5.85"/>
        <n v="4.46"/>
        <n v="5.22"/>
        <n v="1.99"/>
        <n v="6.85"/>
        <n v="3.32"/>
        <n v="5.68"/>
        <n v="6.08"/>
        <n v="8.6999999999999993"/>
        <n v="7.97"/>
        <n v="9.41"/>
        <n v="2.68"/>
        <n v="7.32"/>
        <n v="4.68"/>
        <n v="5.17"/>
        <n v="6.2"/>
        <n v="2.69"/>
        <n v="3.79"/>
        <n v="4.79"/>
        <n v="6.37"/>
        <n v="2.65"/>
        <n v="1.81"/>
        <n v="7.47"/>
        <n v="4.2"/>
        <n v="5.43"/>
        <n v="6.66"/>
        <n v="8.09"/>
        <n v="8.44"/>
        <n v="2.02"/>
        <n v="7.74"/>
        <n v="2.89"/>
        <n v="3.09"/>
        <n v="5.3"/>
        <n v="8.1999999999999993"/>
        <n v="2.2200000000000002"/>
        <n v="8.33"/>
        <n v="5.61"/>
        <n v="2.56"/>
        <n v="3.29"/>
        <n v="4.51"/>
        <n v="5.23"/>
        <n v="9.23"/>
        <n v="2.0099999999999998"/>
        <n v="3.72"/>
        <n v="3.89"/>
        <n v="6.95"/>
        <n v="9.48"/>
        <n v="4.6100000000000003"/>
        <n v="8.0299999999999994"/>
        <n v="6.99"/>
        <n v="9.0299999999999994"/>
        <n v="2.86"/>
        <n v="3.85"/>
        <n v="7.3"/>
        <n v="9.08"/>
        <n v="4.34"/>
        <n v="7.8"/>
        <n v="6.58"/>
        <n v="8.6199999999999992"/>
        <n v="4.55"/>
        <n v="9.4"/>
        <n v="7.23"/>
        <n v="9.39"/>
        <n v="5.12"/>
        <n v="4.9400000000000004"/>
        <n v="1.8"/>
        <n v="8.64"/>
        <n v="8.52"/>
        <n v="5.53"/>
        <n v="1.87"/>
        <n v="6.27"/>
        <n v="9.4600000000000009"/>
        <n v="7.5"/>
        <n v="4.7300000000000004"/>
        <n v="3.19"/>
        <n v="2.4900000000000002"/>
        <n v="4.5"/>
        <n v="6.49"/>
        <n v="6.73"/>
        <n v="4.83"/>
        <n v="6.54"/>
        <n v="6.8"/>
        <n v="2.6"/>
        <n v="2.44"/>
        <n v="5.69"/>
        <n v="1.6"/>
        <n v="6.09"/>
        <n v="5.59"/>
        <n v="3.55"/>
        <n v="5.21"/>
        <n v="1.82"/>
        <n v="4"/>
        <n v="7.57"/>
        <n v="6.8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trusudan Sharma" refreshedDate="46040.834958449072" createdVersion="7" refreshedVersion="7" minRefreshableVersion="3" recordCount="200" xr:uid="{021C1D6B-2B87-4E18-ACBE-42D29C3195FB}">
  <cacheSource type="worksheet">
    <worksheetSource ref="A3:G203" sheet="Task 3"/>
  </cacheSource>
  <cacheFields count="2">
    <cacheField name="Platform" numFmtId="0">
      <sharedItems count="4">
        <s v="Instagram"/>
        <s v="Facebook"/>
        <s v="Twitter"/>
        <s v="YouTube"/>
      </sharedItems>
    </cacheField>
    <cacheField name="Ad_Spend" numFmtId="0">
      <sharedItems containsSemiMixedTypes="0" containsString="0" containsNumber="1" containsInteger="1" minValue="1083" maxValue="497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trusudan Sharma" refreshedDate="46041.074160763892" createdVersion="7" refreshedVersion="7" minRefreshableVersion="3" recordCount="300" xr:uid="{98564FDB-3AB1-4873-89A8-C9D740EFF80B}">
  <cacheSource type="worksheet">
    <worksheetSource ref="A3:F303" sheet="Task 4"/>
  </cacheSource>
  <cacheFields count="6">
    <cacheField name="Hashtags Used" numFmtId="0">
      <sharedItems count="3">
        <s v="#LiveForNow"/>
        <s v="#PepsiCoRefresh"/>
        <s v="#ThirstyForMore"/>
      </sharedItems>
    </cacheField>
    <cacheField name="Hashtags Used 2" numFmtId="0">
      <sharedItems containsBlank="1" count="6">
        <s v="#AnytimeIsPepsiTime"/>
        <s v="#BetterWithPepsi"/>
        <m/>
        <s v="#PepsiCoRefresh"/>
        <s v="#SmoothLikeNitroPepsi"/>
        <s v="#ThirstyForMore"/>
      </sharedItems>
    </cacheField>
    <cacheField name="Hashtags Used 3" numFmtId="0">
      <sharedItems containsBlank="1" count="4">
        <m/>
        <s v="#AnytimeIsPepsiTime"/>
        <s v="#ThirstyForMore"/>
        <s v="#BetterWithPepsi"/>
      </sharedItems>
    </cacheField>
    <cacheField name="Likes" numFmtId="0">
      <sharedItems containsSemiMixedTypes="0" containsString="0" containsNumber="1" containsInteger="1" minValue="53" maxValue="4941"/>
    </cacheField>
    <cacheField name="Shares" numFmtId="0">
      <sharedItems containsSemiMixedTypes="0" containsString="0" containsNumber="1" containsInteger="1" minValue="10" maxValue="983"/>
    </cacheField>
    <cacheField name="Comments" numFmtId="0">
      <sharedItems containsSemiMixedTypes="0" containsString="0" containsNumber="1" containsInteger="1" minValue="7" maxValue="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trusudan Sharma" refreshedDate="46041.536924074077" createdVersion="7" refreshedVersion="7" minRefreshableVersion="3" recordCount="300" xr:uid="{1433C209-50C5-423C-B8A5-24BDDA531D1A}">
  <cacheSource type="worksheet">
    <worksheetSource ref="D3:H303" sheet="Task 4"/>
  </cacheSource>
  <cacheFields count="5">
    <cacheField name="Likes" numFmtId="0">
      <sharedItems containsSemiMixedTypes="0" containsString="0" containsNumber="1" containsInteger="1" minValue="53" maxValue="4941" count="293">
        <n v="1461"/>
        <n v="4054"/>
        <n v="2795"/>
        <n v="2404"/>
        <n v="3557"/>
        <n v="2945"/>
        <n v="3860"/>
        <n v="3929"/>
        <n v="3784"/>
        <n v="4241"/>
        <n v="1792"/>
        <n v="1946"/>
        <n v="1171"/>
        <n v="4242"/>
        <n v="3888"/>
        <n v="3452"/>
        <n v="4441"/>
        <n v="3000"/>
        <n v="1071"/>
        <n v="4838"/>
        <n v="1570"/>
        <n v="1606"/>
        <n v="3961"/>
        <n v="3128"/>
        <n v="3009"/>
        <n v="2076"/>
        <n v="432"/>
        <n v="2566"/>
        <n v="3095"/>
        <n v="438"/>
        <n v="2278"/>
        <n v="1407"/>
        <n v="1652"/>
        <n v="3775"/>
        <n v="4518"/>
        <n v="3024"/>
        <n v="3138"/>
        <n v="3564"/>
        <n v="4750"/>
        <n v="456"/>
        <n v="1543"/>
        <n v="2174"/>
        <n v="2358"/>
        <n v="3371"/>
        <n v="1108"/>
        <n v="2704"/>
        <n v="1950"/>
        <n v="2164"/>
        <n v="2754"/>
        <n v="2200"/>
        <n v="947"/>
        <n v="804"/>
        <n v="1686"/>
        <n v="1226"/>
        <n v="2946"/>
        <n v="2825"/>
        <n v="103"/>
        <n v="2180"/>
        <n v="904"/>
        <n v="4886"/>
        <n v="53"/>
        <n v="4507"/>
        <n v="2878"/>
        <n v="1881"/>
        <n v="4712"/>
        <n v="2610"/>
        <n v="1292"/>
        <n v="199"/>
        <n v="2551"/>
        <n v="296"/>
        <n v="4126"/>
        <n v="1855"/>
        <n v="1674"/>
        <n v="1121"/>
        <n v="1249"/>
        <n v="954"/>
        <n v="3068"/>
        <n v="2103"/>
        <n v="1816"/>
        <n v="725"/>
        <n v="1094"/>
        <n v="1841"/>
        <n v="4177"/>
        <n v="3428"/>
        <n v="1436"/>
        <n v="302"/>
        <n v="2214"/>
        <n v="3861"/>
        <n v="1263"/>
        <n v="3801"/>
        <n v="1431"/>
        <n v="2647"/>
        <n v="3182"/>
        <n v="1238"/>
        <n v="4739"/>
        <n v="1575"/>
        <n v="4171"/>
        <n v="1766"/>
        <n v="4450"/>
        <n v="1000"/>
        <n v="3689"/>
        <n v="3655"/>
        <n v="498"/>
        <n v="4619"/>
        <n v="4832"/>
        <n v="4050"/>
        <n v="3649"/>
        <n v="3523"/>
        <n v="2719"/>
        <n v="1957"/>
        <n v="4419"/>
        <n v="4000"/>
        <n v="2493"/>
        <n v="3704"/>
        <n v="4551"/>
        <n v="1970"/>
        <n v="780"/>
        <n v="3432"/>
        <n v="4363"/>
        <n v="736"/>
        <n v="3811"/>
        <n v="4158"/>
        <n v="3092"/>
        <n v="2147"/>
        <n v="2936"/>
        <n v="4840"/>
        <n v="1947"/>
        <n v="2072"/>
        <n v="3731"/>
        <n v="4213"/>
        <n v="3134"/>
        <n v="3008"/>
        <n v="305"/>
        <n v="2746"/>
        <n v="2291"/>
        <n v="3170"/>
        <n v="2070"/>
        <n v="80"/>
        <n v="4929"/>
        <n v="1878"/>
        <n v="3065"/>
        <n v="3256"/>
        <n v="4133"/>
        <n v="1702"/>
        <n v="4295"/>
        <n v="3559"/>
        <n v="4804"/>
        <n v="754"/>
        <n v="985"/>
        <n v="2283"/>
        <n v="3352"/>
        <n v="4775"/>
        <n v="1762"/>
        <n v="2120"/>
        <n v="1082"/>
        <n v="4671"/>
        <n v="3430"/>
        <n v="4501"/>
        <n v="4934"/>
        <n v="3239"/>
        <n v="1076"/>
        <n v="4771"/>
        <n v="2418"/>
        <n v="3809"/>
        <n v="3577"/>
        <n v="1018"/>
        <n v="3073"/>
        <n v="1330"/>
        <n v="3828"/>
        <n v="142"/>
        <n v="3798"/>
        <n v="3099"/>
        <n v="129"/>
        <n v="3796"/>
        <n v="3711"/>
        <n v="606"/>
        <n v="4689"/>
        <n v="360"/>
        <n v="3215"/>
        <n v="4523"/>
        <n v="4292"/>
        <n v="1644"/>
        <n v="2728"/>
        <n v="3360"/>
        <n v="1963"/>
        <n v="4285"/>
        <n v="1176"/>
        <n v="4858"/>
        <n v="4350"/>
        <n v="914"/>
        <n v="1813"/>
        <n v="4782"/>
        <n v="1048"/>
        <n v="2509"/>
        <n v="3718"/>
        <n v="802"/>
        <n v="1871"/>
        <n v="3773"/>
        <n v="2234"/>
        <n v="3820"/>
        <n v="941"/>
        <n v="4274"/>
        <n v="2949"/>
        <n v="3160"/>
        <n v="257"/>
        <n v="3874"/>
        <n v="2696"/>
        <n v="521"/>
        <n v="4872"/>
        <n v="1509"/>
        <n v="4606"/>
        <n v="1869"/>
        <n v="1188"/>
        <n v="84"/>
        <n v="4453"/>
        <n v="1814"/>
        <n v="3338"/>
        <n v="602"/>
        <n v="4672"/>
        <n v="1741"/>
        <n v="246"/>
        <n v="4808"/>
        <n v="4799"/>
        <n v="3663"/>
        <n v="1430"/>
        <n v="249"/>
        <n v="2382"/>
        <n v="1272"/>
        <n v="3196"/>
        <n v="1257"/>
        <n v="3770"/>
        <n v="4725"/>
        <n v="4188"/>
        <n v="929"/>
        <n v="4321"/>
        <n v="4767"/>
        <n v="3592"/>
        <n v="4661"/>
        <n v="4134"/>
        <n v="400"/>
        <n v="3960"/>
        <n v="886"/>
        <n v="827"/>
        <n v="3813"/>
        <n v="1377"/>
        <n v="2089"/>
        <n v="3791"/>
        <n v="2692"/>
        <n v="3767"/>
        <n v="2143"/>
        <n v="3090"/>
        <n v="3601"/>
        <n v="562"/>
        <n v="4332"/>
        <n v="4853"/>
        <n v="1206"/>
        <n v="2603"/>
        <n v="59"/>
        <n v="1877"/>
        <n v="4182"/>
        <n v="4187"/>
        <n v="4579"/>
        <n v="4561"/>
        <n v="3774"/>
        <n v="3575"/>
        <n v="4941"/>
        <n v="3641"/>
        <n v="3535"/>
        <n v="1556"/>
        <n v="4236"/>
        <n v="4516"/>
        <n v="4905"/>
        <n v="4275"/>
        <n v="3166"/>
        <n v="1488"/>
        <n v="3367"/>
        <n v="571"/>
        <n v="4021"/>
        <n v="3389"/>
        <n v="1164"/>
        <n v="4780"/>
        <n v="2751"/>
        <n v="2107"/>
        <n v="4663"/>
        <n v="880"/>
        <n v="2634"/>
        <n v="4731"/>
        <n v="1952"/>
        <n v="3440"/>
        <n v="2166"/>
        <n v="4303"/>
        <n v="2581"/>
        <n v="4494"/>
      </sharedItems>
    </cacheField>
    <cacheField name="Shares" numFmtId="0">
      <sharedItems containsSemiMixedTypes="0" containsString="0" containsNumber="1" containsInteger="1" minValue="10" maxValue="983" count="259">
        <n v="184"/>
        <n v="389"/>
        <n v="105"/>
        <n v="363"/>
        <n v="687"/>
        <n v="930"/>
        <n v="201"/>
        <n v="262"/>
        <n v="808"/>
        <n v="902"/>
        <n v="614"/>
        <n v="686"/>
        <n v="286"/>
        <n v="555"/>
        <n v="604"/>
        <n v="377"/>
        <n v="511"/>
        <n v="382"/>
        <n v="519"/>
        <n v="488"/>
        <n v="640"/>
        <n v="187"/>
        <n v="547"/>
        <n v="761"/>
        <n v="211"/>
        <n v="413"/>
        <n v="195"/>
        <n v="624"/>
        <n v="118"/>
        <n v="39"/>
        <n v="153"/>
        <n v="10"/>
        <n v="400"/>
        <n v="89"/>
        <n v="16"/>
        <n v="285"/>
        <n v="925"/>
        <n v="123"/>
        <n v="629"/>
        <n v="151"/>
        <n v="820"/>
        <n v="658"/>
        <n v="784"/>
        <n v="106"/>
        <n v="177"/>
        <n v="752"/>
        <n v="295"/>
        <n v="549"/>
        <n v="130"/>
        <n v="504"/>
        <n v="338"/>
        <n v="639"/>
        <n v="904"/>
        <n v="119"/>
        <n v="498"/>
        <n v="535"/>
        <n v="770"/>
        <n v="263"/>
        <n v="973"/>
        <n v="983"/>
        <n v="81"/>
        <n v="217"/>
        <n v="248"/>
        <n v="501"/>
        <n v="171"/>
        <n v="568"/>
        <n v="126"/>
        <n v="626"/>
        <n v="772"/>
        <n v="915"/>
        <n v="60"/>
        <n v="426"/>
        <n v="200"/>
        <n v="929"/>
        <n v="135"/>
        <n v="116"/>
        <n v="324"/>
        <n v="137"/>
        <n v="892"/>
        <n v="29"/>
        <n v="88"/>
        <n v="472"/>
        <n v="851"/>
        <n v="569"/>
        <n v="305"/>
        <n v="765"/>
        <n v="47"/>
        <n v="249"/>
        <n v="960"/>
        <n v="397"/>
        <n v="967"/>
        <n v="951"/>
        <n v="304"/>
        <n v="559"/>
        <n v="366"/>
        <n v="527"/>
        <n v="771"/>
        <n v="548"/>
        <n v="92"/>
        <n v="978"/>
        <n v="48"/>
        <n v="38"/>
        <n v="821"/>
        <n v="893"/>
        <n v="871"/>
        <n v="215"/>
        <n v="753"/>
        <n v="17"/>
        <n v="877"/>
        <n v="236"/>
        <n v="689"/>
        <n v="97"/>
        <n v="186"/>
        <n v="451"/>
        <n v="714"/>
        <n v="675"/>
        <n v="928"/>
        <n v="701"/>
        <n v="869"/>
        <n v="649"/>
        <n v="866"/>
        <n v="167"/>
        <n v="652"/>
        <n v="430"/>
        <n v="439"/>
        <n v="842"/>
        <n v="532"/>
        <n v="115"/>
        <n v="253"/>
        <n v="888"/>
        <n v="94"/>
        <n v="156"/>
        <n v="78"/>
        <n v="857"/>
        <n v="275"/>
        <n v="362"/>
        <n v="749"/>
        <n v="62"/>
        <n v="459"/>
        <n v="466"/>
        <n v="750"/>
        <n v="853"/>
        <n v="59"/>
        <n v="550"/>
        <n v="197"/>
        <n v="932"/>
        <n v="210"/>
        <n v="941"/>
        <n v="173"/>
        <n v="405"/>
        <n v="158"/>
        <n v="209"/>
        <n v="876"/>
        <n v="566"/>
        <n v="375"/>
        <n v="971"/>
        <n v="43"/>
        <n v="313"/>
        <n v="818"/>
        <n v="754"/>
        <n v="273"/>
        <n v="596"/>
        <n v="447"/>
        <n v="553"/>
        <n v="148"/>
        <n v="31"/>
        <n v="694"/>
        <n v="643"/>
        <n v="667"/>
        <n v="352"/>
        <n v="789"/>
        <n v="134"/>
        <n v="590"/>
        <n v="61"/>
        <n v="51"/>
        <n v="546"/>
        <n v="533"/>
        <n v="525"/>
        <n v="213"/>
        <n v="886"/>
        <n v="464"/>
        <n v="317"/>
        <n v="623"/>
        <n v="721"/>
        <n v="374"/>
        <n v="385"/>
        <n v="252"/>
        <n v="299"/>
        <n v="653"/>
        <n v="697"/>
        <n v="121"/>
        <n v="340"/>
        <n v="476"/>
        <n v="204"/>
        <n v="966"/>
        <n v="884"/>
        <n v="628"/>
        <n v="746"/>
        <n v="931"/>
        <n v="453"/>
        <n v="470"/>
        <n v="897"/>
        <n v="111"/>
        <n v="277"/>
        <n v="594"/>
        <n v="325"/>
        <n v="164"/>
        <n v="149"/>
        <n v="376"/>
        <n v="592"/>
        <n v="265"/>
        <n v="465"/>
        <n v="19"/>
        <n v="917"/>
        <n v="942"/>
        <n v="192"/>
        <n v="874"/>
        <n v="190"/>
        <n v="911"/>
        <n v="935"/>
        <n v="824"/>
        <n v="680"/>
        <n v="266"/>
        <n v="77"/>
        <n v="796"/>
        <n v="593"/>
        <n v="514"/>
        <n v="12"/>
        <n v="695"/>
        <n v="837"/>
        <n v="238"/>
        <n v="690"/>
        <n v="163"/>
        <n v="745"/>
        <n v="66"/>
        <n v="125"/>
        <n v="239"/>
        <n v="414"/>
        <n v="226"/>
        <n v="494"/>
        <n v="831"/>
        <n v="711"/>
        <n v="836"/>
        <n v="845"/>
        <n v="90"/>
        <n v="417"/>
        <n v="302"/>
        <n v="794"/>
        <n v="344"/>
        <n v="616"/>
        <n v="691"/>
        <n v="33"/>
        <n v="145"/>
        <n v="297"/>
        <n v="726"/>
        <n v="13"/>
        <n v="354"/>
        <n v="517"/>
        <n v="717"/>
      </sharedItems>
    </cacheField>
    <cacheField name="Comments" numFmtId="0">
      <sharedItems containsSemiMixedTypes="0" containsString="0" containsNumber="1" containsInteger="1" minValue="7" maxValue="500"/>
    </cacheField>
    <cacheField name="Platform" numFmtId="0">
      <sharedItems count="4">
        <s v="Twitter"/>
        <s v="YouTube"/>
        <s v="Instagram"/>
        <s v="Facebook"/>
      </sharedItems>
    </cacheField>
    <cacheField name="Content Typ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trusudan Sharma" refreshedDate="46041.554291203705" createdVersion="7" refreshedVersion="7" minRefreshableVersion="3" recordCount="300" xr:uid="{2128F563-21A7-43CC-A400-41A75518BBB0}">
  <cacheSource type="worksheet">
    <worksheetSource ref="G3:I303" sheet="Task 4"/>
  </cacheSource>
  <cacheFields count="3">
    <cacheField name="Platform" numFmtId="0">
      <sharedItems count="4">
        <s v="Twitter"/>
        <s v="YouTube"/>
        <s v="Instagram"/>
        <s v="Facebook"/>
      </sharedItems>
    </cacheField>
    <cacheField name="Content Type" numFmtId="0">
      <sharedItems count="6">
        <s v="Reel"/>
        <s v="Text"/>
        <s v="Story"/>
        <s v="Carousel"/>
        <s v="Image"/>
        <s v="Video"/>
      </sharedItems>
    </cacheField>
    <cacheField name="Reach" numFmtId="0">
      <sharedItems containsSemiMixedTypes="0" containsString="0" containsNumber="1" containsInteger="1" minValue="7" maxValue="977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trusudan Sharma" refreshedDate="46041.580796643517" createdVersion="7" refreshedVersion="7" minRefreshableVersion="3" recordCount="300" xr:uid="{97518810-33BD-4B1D-B4AC-1CB3D09DA8C9}">
  <cacheSource type="worksheet">
    <worksheetSource name="Table1"/>
  </cacheSource>
  <cacheFields count="4">
    <cacheField name="Campaign_Name" numFmtId="0">
      <sharedItems containsBlank="1" count="5">
        <s v="SummerSplash"/>
        <s v="FestiveRadiance"/>
        <s v="NewYearRefresh"/>
        <s v="DailyWellness"/>
        <m/>
      </sharedItems>
    </cacheField>
    <cacheField name="Likes" numFmtId="0">
      <sharedItems containsSemiMixedTypes="0" containsString="0" containsNumber="1" containsInteger="1" minValue="53" maxValue="4941"/>
    </cacheField>
    <cacheField name="Impressions" numFmtId="0">
      <sharedItems containsSemiMixedTypes="0" containsString="0" containsNumber="1" containsInteger="1" minValue="588" maxValue="98100" count="297">
        <n v="21915"/>
        <n v="64864"/>
        <n v="53105"/>
        <n v="19232"/>
        <n v="71140"/>
        <n v="23560"/>
        <n v="61760"/>
        <n v="43219"/>
        <n v="56760"/>
        <n v="72097"/>
        <n v="25088"/>
        <n v="23352"/>
        <n v="22249"/>
        <n v="33936"/>
        <n v="77760"/>
        <n v="55232"/>
        <n v="53292"/>
        <n v="36000"/>
        <n v="16065"/>
        <n v="77026"/>
        <n v="72570"/>
        <n v="25120"/>
        <n v="32120"/>
        <n v="67337"/>
        <n v="59432"/>
        <n v="42126"/>
        <n v="33216"/>
        <n v="6912"/>
        <n v="12830"/>
        <n v="55710"/>
        <n v="3066"/>
        <n v="13668"/>
        <n v="16884"/>
        <n v="29736"/>
        <n v="33975"/>
        <n v="67770"/>
        <n v="24192"/>
        <n v="28242"/>
        <n v="60588"/>
        <n v="38000"/>
        <n v="8208"/>
        <n v="12344"/>
        <n v="13044"/>
        <n v="35370"/>
        <n v="50565"/>
        <n v="8864"/>
        <n v="21632"/>
        <n v="37050"/>
        <n v="28132"/>
        <n v="22032"/>
        <n v="37400"/>
        <n v="10417"/>
        <n v="4020"/>
        <n v="18546"/>
        <n v="14712"/>
        <n v="29460"/>
        <n v="45200"/>
        <n v="1030"/>
        <n v="30520"/>
        <n v="11752"/>
        <n v="43974"/>
        <n v="954"/>
        <n v="90140"/>
        <n v="43170"/>
        <n v="20691"/>
        <n v="3024"/>
        <n v="84816"/>
        <n v="15660"/>
        <n v="25840"/>
        <n v="3582"/>
        <n v="30612"/>
        <n v="5624"/>
        <n v="78394"/>
        <n v="16695"/>
        <n v="21762"/>
        <n v="15694"/>
        <n v="8743"/>
        <n v="19080"/>
        <n v="39884"/>
        <n v="39957"/>
        <n v="19976"/>
        <n v="14500"/>
        <n v="9846"/>
        <n v="34979"/>
        <n v="25062"/>
        <n v="58276"/>
        <n v="12924"/>
        <n v="5738"/>
        <n v="15498"/>
        <n v="69498"/>
        <n v="25260"/>
        <n v="38010"/>
        <n v="8586"/>
        <n v="18529"/>
        <n v="57276"/>
        <n v="19808"/>
        <n v="61607"/>
        <n v="25200"/>
        <n v="66736"/>
        <n v="24724"/>
        <n v="75650"/>
        <n v="6000"/>
        <n v="40579"/>
        <n v="32895"/>
        <n v="4482"/>
        <n v="69285"/>
        <n v="91808"/>
        <n v="52650"/>
        <n v="25543"/>
        <n v="38753"/>
        <n v="40785"/>
        <n v="17613"/>
        <n v="44190"/>
        <n v="40000"/>
        <n v="42381"/>
        <n v="25928"/>
        <n v="20878"/>
        <n v="68265"/>
        <n v="9850"/>
        <n v="8580"/>
        <n v="4980"/>
        <n v="54912"/>
        <n v="21815"/>
        <n v="5152"/>
        <n v="34299"/>
        <n v="45738"/>
        <n v="65588"/>
        <n v="27828"/>
        <n v="17176"/>
        <n v="38168"/>
        <n v="43560"/>
        <n v="21417"/>
        <n v="37296"/>
        <n v="55965"/>
        <n v="75834"/>
        <n v="21938"/>
        <n v="15040"/>
        <n v="4575"/>
        <n v="32952"/>
        <n v="18328"/>
        <n v="19020"/>
        <n v="39330"/>
        <n v="1040"/>
        <n v="93651"/>
        <n v="37560"/>
        <n v="18390"/>
        <n v="26048"/>
        <n v="24798"/>
        <n v="34040"/>
        <n v="85900"/>
        <n v="35590"/>
        <n v="28824"/>
        <n v="6786"/>
        <n v="6895"/>
        <n v="22830"/>
        <n v="43576"/>
        <n v="47750"/>
        <n v="22906"/>
        <n v="12720"/>
        <n v="19476"/>
        <n v="51381"/>
        <n v="48020"/>
        <n v="22505"/>
        <n v="39472"/>
        <n v="22673"/>
        <n v="11836"/>
        <n v="57252"/>
        <n v="43524"/>
        <n v="34281"/>
        <n v="67963"/>
        <n v="18324"/>
        <n v="52241"/>
        <n v="15960"/>
        <n v="30624"/>
        <n v="1704"/>
        <n v="75960"/>
        <n v="43386"/>
        <n v="1290"/>
        <n v="64532"/>
        <n v="48243"/>
        <n v="7878"/>
        <n v="51579"/>
        <n v="4680"/>
        <n v="32150"/>
        <n v="49753"/>
        <n v="55796"/>
        <n v="27948"/>
        <n v="40920"/>
        <n v="60480"/>
        <n v="39260"/>
        <n v="55705"/>
        <n v="14112"/>
        <n v="53438"/>
        <n v="60900"/>
        <n v="11882"/>
        <n v="19943"/>
        <n v="86076"/>
        <n v="9432"/>
        <n v="35126"/>
        <n v="70642"/>
        <n v="14436"/>
        <n v="29936"/>
        <n v="71687"/>
        <n v="11170"/>
        <n v="45840"/>
        <n v="14115"/>
        <n v="34192"/>
        <n v="44235"/>
        <n v="44240"/>
        <n v="3341"/>
        <n v="38740"/>
        <n v="45832"/>
        <n v="4168"/>
        <n v="82824"/>
        <n v="30180"/>
        <n v="92120"/>
        <n v="14952"/>
        <n v="7128"/>
        <n v="588"/>
        <n v="31171"/>
        <n v="25396"/>
        <n v="60084"/>
        <n v="4214"/>
        <n v="88768"/>
        <n v="8705"/>
        <n v="4674"/>
        <n v="72120"/>
        <n v="43191"/>
        <n v="51282"/>
        <n v="21450"/>
        <n v="1494"/>
        <n v="38112"/>
        <n v="24168"/>
        <n v="35156"/>
        <n v="12570"/>
        <n v="71630"/>
        <n v="75600"/>
        <n v="20940"/>
        <n v="16722"/>
        <n v="30247"/>
        <n v="28602"/>
        <n v="50288"/>
        <n v="23305"/>
        <n v="41340"/>
        <n v="6400"/>
        <n v="35640"/>
        <n v="4430"/>
        <n v="14886"/>
        <n v="68634"/>
        <n v="16712"/>
        <n v="53074"/>
        <n v="21536"/>
        <n v="37670"/>
        <n v="40717"/>
        <n v="49440"/>
        <n v="21606"/>
        <n v="3372"/>
        <n v="60648"/>
        <n v="72795"/>
        <n v="9648"/>
        <n v="13015"/>
        <n v="590"/>
        <n v="11262"/>
        <n v="50184"/>
        <n v="66992"/>
        <n v="59527"/>
        <n v="22805"/>
        <n v="60384"/>
        <n v="39528"/>
        <n v="40051"/>
        <n v="53025"/>
        <n v="17410"/>
        <n v="9336"/>
        <n v="21180"/>
        <n v="49676"/>
        <n v="98100"/>
        <n v="64125"/>
        <n v="56988"/>
        <n v="19344"/>
        <n v="63973"/>
        <n v="9707"/>
        <n v="36189"/>
        <n v="20334"/>
        <n v="6984"/>
        <n v="86040"/>
        <n v="44016"/>
        <n v="35819"/>
        <n v="69945"/>
        <n v="12320"/>
        <n v="28974"/>
        <n v="28386"/>
        <n v="15616"/>
        <n v="58480"/>
        <n v="10830"/>
        <n v="86060"/>
        <n v="23229"/>
        <n v="62916"/>
      </sharedItems>
    </cacheField>
    <cacheField name="Clicks" numFmtId="0">
      <sharedItems containsSemiMixedTypes="0" containsString="0" containsNumber="1" containsInteger="1" minValue="10" maxValue="3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trusudan Sharma" refreshedDate="46041.632354050926" createdVersion="7" refreshedVersion="7" minRefreshableVersion="3" recordCount="300" xr:uid="{DE574BA2-1943-42C2-A355-F7F5490EB457}">
  <cacheSource type="worksheet">
    <worksheetSource ref="A5:G305" sheet="Task 5.3"/>
  </cacheSource>
  <cacheFields count="7">
    <cacheField name="Campaign_Name" numFmtId="0">
      <sharedItems containsBlank="1" count="5">
        <s v="SummerSplash"/>
        <s v="FestiveRadiance"/>
        <s v="NewYearRefresh"/>
        <s v="DailyWellness"/>
        <m/>
      </sharedItems>
    </cacheField>
    <cacheField name="Likes" numFmtId="0">
      <sharedItems containsSemiMixedTypes="0" containsString="0" containsNumber="1" containsInteger="1" minValue="53" maxValue="4941"/>
    </cacheField>
    <cacheField name="Shares" numFmtId="0">
      <sharedItems containsSemiMixedTypes="0" containsString="0" containsNumber="1" containsInteger="1" minValue="10" maxValue="983"/>
    </cacheField>
    <cacheField name="Comments" numFmtId="0">
      <sharedItems containsSemiMixedTypes="0" containsString="0" containsNumber="1" containsInteger="1" minValue="7" maxValue="500"/>
    </cacheField>
    <cacheField name="Engagement_Rate" numFmtId="0">
      <sharedItems containsString="0" containsBlank="1" containsNumber="1" minValue="1.53" maxValue="9.48"/>
    </cacheField>
    <cacheField name="Budget" numFmtId="0">
      <sharedItems containsMixedTypes="1" containsNumber="1" containsInteger="1" minValue="150000" maxValue="250000"/>
    </cacheField>
    <cacheField name="ROI" numFmtId="0">
      <sharedItems containsString="0" containsBlank="1" containsNumber="1" minValue="1.575E-3" maxValue="4.1853333333333333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trusudan Sharma" refreshedDate="46041.725701388888" createdVersion="7" refreshedVersion="7" minRefreshableVersion="3" recordCount="200" xr:uid="{410E2B14-18C4-4013-B27A-0E7865A316F9}">
  <cacheSource type="worksheet">
    <worksheetSource ref="A5:F205" sheet="Task 5.4"/>
  </cacheSource>
  <cacheFields count="6">
    <cacheField name="Campaign_Name" numFmtId="0">
      <sharedItems containsBlank="1" count="5">
        <s v="SummerSplash"/>
        <s v="FestiveRadiance"/>
        <s v="NewYearRefresh"/>
        <s v="DailyWellness"/>
        <m/>
      </sharedItems>
    </cacheField>
    <cacheField name="Platform" numFmtId="0">
      <sharedItems/>
    </cacheField>
    <cacheField name="New_Followers" numFmtId="0">
      <sharedItems containsSemiMixedTypes="0" containsString="0" containsNumber="1" containsInteger="1" minValue="115" maxValue="1980"/>
    </cacheField>
    <cacheField name="Unfollows" numFmtId="0">
      <sharedItems containsSemiMixedTypes="0" containsString="0" containsNumber="1" containsInteger="1" minValue="20" maxValue="498"/>
    </cacheField>
    <cacheField name="Total_Followers" numFmtId="0">
      <sharedItems containsSemiMixedTypes="0" containsString="0" containsNumber="1" containsInteger="1" minValue="11435" maxValue="496982"/>
    </cacheField>
    <cacheField name="Net Followers" numFmtId="0">
      <sharedItems containsString="0" containsBlank="1" containsNumber="1" containsInteger="1" minValue="-337" maxValue="188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trusudan Sharma" refreshedDate="46041.727604745371" createdVersion="7" refreshedVersion="7" minRefreshableVersion="3" recordCount="163" xr:uid="{EA490DBD-563B-4634-88D5-9B3A9158BA65}">
  <cacheSource type="worksheet">
    <worksheetSource ref="C5:D168" sheet="Task 6"/>
  </cacheSource>
  <cacheFields count="2">
    <cacheField name="Net Followers" numFmtId="0">
      <sharedItems containsSemiMixedTypes="0" containsString="0" containsNumber="1" containsInteger="1" minValue="-337" maxValue="1881"/>
    </cacheField>
    <cacheField name="Platform" numFmtId="0">
      <sharedItems count="4">
        <s v="Instagram"/>
        <s v="Facebook"/>
        <s v="Twitter"/>
        <s v="YouTub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trusudan Sharma" refreshedDate="46041.729082986109" createdVersion="7" refreshedVersion="7" minRefreshableVersion="3" recordCount="163" xr:uid="{0A8CA37F-DE4B-4091-ABF3-B5985CAC551C}">
  <cacheSource type="worksheet">
    <worksheetSource ref="A5:D168" sheet="Task 6"/>
  </cacheSource>
  <cacheFields count="4">
    <cacheField name="Date" numFmtId="0">
      <sharedItems count="129">
        <s v="2024-12-23"/>
        <s v="2025-04-03"/>
        <s v="2025-05-12"/>
        <s v="2024-08-12"/>
        <s v="2024-06-26"/>
        <s v="2024-10-31"/>
        <s v="2024-06-24"/>
        <s v="2024-07-13"/>
        <s v="2024-08-30"/>
        <s v="2025-03-11"/>
        <s v="2025-02-02"/>
        <s v="2024-07-21"/>
        <s v="2024-11-18"/>
        <s v="2025-02-16"/>
        <s v="2024-10-24"/>
        <s v="2024-08-26"/>
        <s v="2025-05-05"/>
        <s v="2024-08-19"/>
        <s v="2024-06-23"/>
        <s v="2024-09-09"/>
        <s v="2025-01-04"/>
        <s v="2025-02-27"/>
        <s v="2024-11-06"/>
        <s v="2025-01-23"/>
        <s v="2025-04-10"/>
        <s v="2025-04-05"/>
        <s v="2024-09-17"/>
        <s v="2025-03-04"/>
        <s v="2025-01-31"/>
        <s v="2025-02-25"/>
        <s v="2024-12-16"/>
        <s v="2024-07-31"/>
        <s v="2024-08-21"/>
        <s v="2025-03-26"/>
        <s v="2024-11-30"/>
        <s v="2025-04-19"/>
        <s v="2025-01-06"/>
        <s v="2025-02-17"/>
        <s v="2024-11-25"/>
        <s v="2025-03-07"/>
        <s v="2025-03-08"/>
        <s v="2025-03-05"/>
        <s v="2024-12-14"/>
        <s v="2025-03-02"/>
        <s v="2024-11-01"/>
        <s v="2025-05-02"/>
        <s v="2025-02-24"/>
        <s v="2024-06-10"/>
        <s v="2024-07-03"/>
        <s v="2024-06-13"/>
        <s v="2025-01-03"/>
        <s v="2025-03-13"/>
        <s v="2024-06-17"/>
        <s v="2024-12-18"/>
        <s v="2024-10-21"/>
        <s v="2025-04-15"/>
        <s v="2024-06-22"/>
        <s v="2025-01-28"/>
        <s v="2024-09-05"/>
        <s v="2024-11-22"/>
        <s v="2024-08-17"/>
        <s v="2025-03-28"/>
        <s v="2024-07-26"/>
        <s v="2025-03-29"/>
        <s v="2024-12-08"/>
        <s v="2025-04-02"/>
        <s v="2024-09-02"/>
        <s v="2025-03-03"/>
        <s v="2024-10-18"/>
        <s v="2024-10-28"/>
        <s v="2024-08-01"/>
        <s v="2024-11-07"/>
        <s v="2024-10-09"/>
        <s v="2024-10-19"/>
        <s v="2024-07-24"/>
        <s v="2024-10-15"/>
        <s v="2024-12-09"/>
        <s v="2025-01-27"/>
        <s v="2024-06-06"/>
        <s v="2024-07-07"/>
        <s v="2025-01-10"/>
        <s v="2024-06-03"/>
        <s v="2025-03-24"/>
        <s v="2024-12-11"/>
        <s v="2024-11-08"/>
        <s v="2024-09-10"/>
        <s v="2024-08-13"/>
        <s v="2024-07-02"/>
        <s v="2025-02-10"/>
        <s v="2024-09-18"/>
        <s v="2024-06-11"/>
        <s v="2025-03-23"/>
        <s v="2024-06-14"/>
        <s v="2025-02-04"/>
        <s v="2024-06-21"/>
        <s v="2025-03-25"/>
        <s v="2024-08-08"/>
        <s v="2024-07-29"/>
        <s v="2024-11-23"/>
        <s v="2024-10-05"/>
        <s v="2024-10-02"/>
        <s v="2024-11-14"/>
        <s v="2025-05-11"/>
        <s v="2025-03-18"/>
        <s v="2024-11-04"/>
        <s v="2025-02-07"/>
        <s v="2025-04-06"/>
        <s v="2024-09-08"/>
        <s v="2024-09-29"/>
        <s v="2025-02-06"/>
        <s v="2025-04-24"/>
        <s v="2024-11-28"/>
        <s v="2024-07-11"/>
        <s v="2024-10-29"/>
        <s v="2024-07-15"/>
        <s v="2024-08-31"/>
        <s v="2024-06-05"/>
        <s v="2024-06-16"/>
        <s v="2024-08-22"/>
        <s v="2025-04-22"/>
        <s v="2025-01-01"/>
        <s v="2024-12-21"/>
        <s v="2024-10-22"/>
        <s v="2024-07-23"/>
        <s v="2024-08-11"/>
        <s v="2024-08-24"/>
        <s v="2025-02-19"/>
        <s v="2025-04-01"/>
        <s v="2025-04-08"/>
      </sharedItems>
    </cacheField>
    <cacheField name="Week_Start_Date" numFmtId="0">
      <sharedItems/>
    </cacheField>
    <cacheField name="Net Followers" numFmtId="0">
      <sharedItems containsSemiMixedTypes="0" containsString="0" containsNumber="1" containsInteger="1" minValue="-337" maxValue="1881"/>
    </cacheField>
    <cacheField name="Platform" numFmtId="0">
      <sharedItems count="4">
        <s v="Instagram"/>
        <s v="Facebook"/>
        <s v="Twitter"/>
        <s v="YouTub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x v="0"/>
    <n v="184"/>
    <n v="344"/>
    <n v="21915"/>
    <x v="0"/>
    <x v="0"/>
  </r>
  <r>
    <x v="1"/>
    <n v="389"/>
    <n v="493"/>
    <n v="64864"/>
    <x v="1"/>
    <x v="0"/>
  </r>
  <r>
    <x v="2"/>
    <n v="105"/>
    <n v="49"/>
    <n v="53105"/>
    <x v="0"/>
    <x v="1"/>
  </r>
  <r>
    <x v="3"/>
    <n v="363"/>
    <n v="138"/>
    <n v="19232"/>
    <x v="2"/>
    <x v="2"/>
  </r>
  <r>
    <x v="4"/>
    <n v="687"/>
    <n v="424"/>
    <n v="71140"/>
    <x v="0"/>
    <x v="1"/>
  </r>
  <r>
    <x v="5"/>
    <n v="930"/>
    <n v="355"/>
    <n v="23560"/>
    <x v="3"/>
    <x v="3"/>
  </r>
  <r>
    <x v="6"/>
    <n v="201"/>
    <n v="279"/>
    <n v="61760"/>
    <x v="3"/>
    <x v="0"/>
  </r>
  <r>
    <x v="7"/>
    <n v="262"/>
    <n v="278"/>
    <n v="43219"/>
    <x v="4"/>
    <x v="1"/>
  </r>
  <r>
    <x v="8"/>
    <n v="808"/>
    <n v="404"/>
    <n v="56760"/>
    <x v="1"/>
    <x v="3"/>
  </r>
  <r>
    <x v="9"/>
    <n v="902"/>
    <n v="47"/>
    <n v="72097"/>
    <x v="4"/>
    <x v="3"/>
  </r>
  <r>
    <x v="10"/>
    <n v="614"/>
    <n v="497"/>
    <n v="25088"/>
    <x v="2"/>
    <x v="2"/>
  </r>
  <r>
    <x v="11"/>
    <n v="686"/>
    <n v="377"/>
    <n v="23352"/>
    <x v="0"/>
    <x v="3"/>
  </r>
  <r>
    <x v="12"/>
    <n v="286"/>
    <n v="231"/>
    <n v="22249"/>
    <x v="3"/>
    <x v="1"/>
  </r>
  <r>
    <x v="13"/>
    <n v="555"/>
    <n v="131"/>
    <n v="33936"/>
    <x v="2"/>
    <x v="3"/>
  </r>
  <r>
    <x v="14"/>
    <n v="604"/>
    <n v="128"/>
    <n v="77760"/>
    <x v="5"/>
    <x v="3"/>
  </r>
  <r>
    <x v="15"/>
    <n v="377"/>
    <n v="360"/>
    <n v="55232"/>
    <x v="1"/>
    <x v="3"/>
  </r>
  <r>
    <x v="16"/>
    <n v="511"/>
    <n v="70"/>
    <n v="53292"/>
    <x v="1"/>
    <x v="3"/>
  </r>
  <r>
    <x v="17"/>
    <n v="382"/>
    <n v="325"/>
    <n v="36000"/>
    <x v="0"/>
    <x v="2"/>
  </r>
  <r>
    <x v="18"/>
    <n v="519"/>
    <n v="22"/>
    <n v="16065"/>
    <x v="5"/>
    <x v="2"/>
  </r>
  <r>
    <x v="1"/>
    <n v="488"/>
    <n v="373"/>
    <n v="77026"/>
    <x v="3"/>
    <x v="2"/>
  </r>
  <r>
    <x v="19"/>
    <n v="640"/>
    <n v="128"/>
    <n v="72570"/>
    <x v="0"/>
    <x v="2"/>
  </r>
  <r>
    <x v="20"/>
    <n v="187"/>
    <n v="260"/>
    <n v="25120"/>
    <x v="1"/>
    <x v="3"/>
  </r>
  <r>
    <x v="21"/>
    <n v="547"/>
    <n v="316"/>
    <n v="32120"/>
    <x v="5"/>
    <x v="3"/>
  </r>
  <r>
    <x v="22"/>
    <n v="761"/>
    <n v="131"/>
    <n v="67337"/>
    <x v="5"/>
    <x v="3"/>
  </r>
  <r>
    <x v="23"/>
    <n v="211"/>
    <n v="197"/>
    <n v="59432"/>
    <x v="3"/>
    <x v="0"/>
  </r>
  <r>
    <x v="24"/>
    <n v="413"/>
    <n v="358"/>
    <n v="42126"/>
    <x v="0"/>
    <x v="1"/>
  </r>
  <r>
    <x v="25"/>
    <n v="195"/>
    <n v="104"/>
    <n v="33216"/>
    <x v="1"/>
    <x v="1"/>
  </r>
  <r>
    <x v="26"/>
    <n v="624"/>
    <n v="123"/>
    <n v="6912"/>
    <x v="5"/>
    <x v="2"/>
  </r>
  <r>
    <x v="27"/>
    <n v="118"/>
    <n v="37"/>
    <n v="12830"/>
    <x v="3"/>
    <x v="2"/>
  </r>
  <r>
    <x v="28"/>
    <n v="39"/>
    <n v="78"/>
    <n v="55710"/>
    <x v="5"/>
    <x v="2"/>
  </r>
  <r>
    <x v="29"/>
    <n v="153"/>
    <n v="275"/>
    <n v="3066"/>
    <x v="1"/>
    <x v="2"/>
  </r>
  <r>
    <x v="30"/>
    <n v="10"/>
    <n v="321"/>
    <n v="13668"/>
    <x v="3"/>
    <x v="0"/>
  </r>
  <r>
    <x v="31"/>
    <n v="400"/>
    <n v="351"/>
    <n v="16884"/>
    <x v="4"/>
    <x v="3"/>
  </r>
  <r>
    <x v="32"/>
    <n v="89"/>
    <n v="357"/>
    <n v="29736"/>
    <x v="1"/>
    <x v="3"/>
  </r>
  <r>
    <x v="33"/>
    <n v="16"/>
    <n v="239"/>
    <n v="33975"/>
    <x v="5"/>
    <x v="2"/>
  </r>
  <r>
    <x v="34"/>
    <n v="285"/>
    <n v="383"/>
    <n v="67770"/>
    <x v="2"/>
    <x v="2"/>
  </r>
  <r>
    <x v="35"/>
    <n v="925"/>
    <n v="350"/>
    <n v="24192"/>
    <x v="3"/>
    <x v="3"/>
  </r>
  <r>
    <x v="36"/>
    <n v="123"/>
    <n v="291"/>
    <n v="28242"/>
    <x v="0"/>
    <x v="1"/>
  </r>
  <r>
    <x v="37"/>
    <n v="629"/>
    <n v="177"/>
    <n v="60588"/>
    <x v="4"/>
    <x v="3"/>
  </r>
  <r>
    <x v="38"/>
    <n v="151"/>
    <n v="415"/>
    <n v="38000"/>
    <x v="4"/>
    <x v="0"/>
  </r>
  <r>
    <x v="39"/>
    <n v="629"/>
    <n v="428"/>
    <n v="8208"/>
    <x v="0"/>
    <x v="2"/>
  </r>
  <r>
    <x v="40"/>
    <n v="820"/>
    <n v="333"/>
    <n v="12344"/>
    <x v="0"/>
    <x v="1"/>
  </r>
  <r>
    <x v="41"/>
    <n v="658"/>
    <n v="15"/>
    <n v="13044"/>
    <x v="3"/>
    <x v="2"/>
  </r>
  <r>
    <x v="42"/>
    <n v="784"/>
    <n v="344"/>
    <n v="35370"/>
    <x v="4"/>
    <x v="0"/>
  </r>
  <r>
    <x v="43"/>
    <n v="106"/>
    <n v="327"/>
    <n v="50565"/>
    <x v="5"/>
    <x v="3"/>
  </r>
  <r>
    <x v="44"/>
    <n v="177"/>
    <n v="212"/>
    <n v="8864"/>
    <x v="5"/>
    <x v="0"/>
  </r>
  <r>
    <x v="45"/>
    <n v="752"/>
    <n v="153"/>
    <n v="21632"/>
    <x v="3"/>
    <x v="0"/>
  </r>
  <r>
    <x v="46"/>
    <n v="295"/>
    <n v="478"/>
    <n v="37050"/>
    <x v="2"/>
    <x v="0"/>
  </r>
  <r>
    <x v="47"/>
    <n v="549"/>
    <n v="274"/>
    <n v="28132"/>
    <x v="2"/>
    <x v="0"/>
  </r>
  <r>
    <x v="48"/>
    <n v="130"/>
    <n v="90"/>
    <n v="22032"/>
    <x v="2"/>
    <x v="1"/>
  </r>
  <r>
    <x v="49"/>
    <n v="504"/>
    <n v="239"/>
    <n v="37400"/>
    <x v="3"/>
    <x v="3"/>
  </r>
  <r>
    <x v="50"/>
    <n v="338"/>
    <n v="350"/>
    <n v="10417"/>
    <x v="4"/>
    <x v="3"/>
  </r>
  <r>
    <x v="51"/>
    <n v="639"/>
    <n v="43"/>
    <n v="4020"/>
    <x v="3"/>
    <x v="1"/>
  </r>
  <r>
    <x v="52"/>
    <n v="904"/>
    <n v="472"/>
    <n v="18546"/>
    <x v="3"/>
    <x v="1"/>
  </r>
  <r>
    <x v="53"/>
    <n v="119"/>
    <n v="7"/>
    <n v="14712"/>
    <x v="4"/>
    <x v="3"/>
  </r>
  <r>
    <x v="54"/>
    <n v="498"/>
    <n v="367"/>
    <n v="29460"/>
    <x v="3"/>
    <x v="3"/>
  </r>
  <r>
    <x v="55"/>
    <n v="535"/>
    <n v="295"/>
    <n v="45200"/>
    <x v="5"/>
    <x v="0"/>
  </r>
  <r>
    <x v="56"/>
    <n v="770"/>
    <n v="19"/>
    <n v="1030"/>
    <x v="0"/>
    <x v="2"/>
  </r>
  <r>
    <x v="57"/>
    <n v="263"/>
    <n v="387"/>
    <n v="30520"/>
    <x v="1"/>
    <x v="2"/>
  </r>
  <r>
    <x v="58"/>
    <n v="973"/>
    <n v="63"/>
    <n v="11752"/>
    <x v="5"/>
    <x v="2"/>
  </r>
  <r>
    <x v="59"/>
    <n v="983"/>
    <n v="409"/>
    <n v="43974"/>
    <x v="5"/>
    <x v="0"/>
  </r>
  <r>
    <x v="60"/>
    <n v="81"/>
    <n v="379"/>
    <n v="954"/>
    <x v="3"/>
    <x v="0"/>
  </r>
  <r>
    <x v="61"/>
    <n v="217"/>
    <n v="13"/>
    <n v="90140"/>
    <x v="3"/>
    <x v="0"/>
  </r>
  <r>
    <x v="62"/>
    <n v="248"/>
    <n v="416"/>
    <n v="43170"/>
    <x v="4"/>
    <x v="3"/>
  </r>
  <r>
    <x v="63"/>
    <n v="501"/>
    <n v="99"/>
    <n v="20691"/>
    <x v="2"/>
    <x v="2"/>
  </r>
  <r>
    <x v="26"/>
    <n v="171"/>
    <n v="280"/>
    <n v="3024"/>
    <x v="3"/>
    <x v="0"/>
  </r>
  <r>
    <x v="64"/>
    <n v="568"/>
    <n v="127"/>
    <n v="84816"/>
    <x v="3"/>
    <x v="3"/>
  </r>
  <r>
    <x v="65"/>
    <n v="126"/>
    <n v="288"/>
    <n v="15660"/>
    <x v="2"/>
    <x v="2"/>
  </r>
  <r>
    <x v="66"/>
    <n v="626"/>
    <n v="496"/>
    <n v="25840"/>
    <x v="1"/>
    <x v="0"/>
  </r>
  <r>
    <x v="67"/>
    <n v="772"/>
    <n v="400"/>
    <n v="3582"/>
    <x v="5"/>
    <x v="3"/>
  </r>
  <r>
    <x v="68"/>
    <n v="915"/>
    <n v="205"/>
    <n v="30612"/>
    <x v="3"/>
    <x v="1"/>
  </r>
  <r>
    <x v="69"/>
    <n v="60"/>
    <n v="141"/>
    <n v="5624"/>
    <x v="0"/>
    <x v="1"/>
  </r>
  <r>
    <x v="70"/>
    <n v="426"/>
    <n v="486"/>
    <n v="78394"/>
    <x v="2"/>
    <x v="3"/>
  </r>
  <r>
    <x v="71"/>
    <n v="200"/>
    <n v="174"/>
    <n v="16695"/>
    <x v="0"/>
    <x v="1"/>
  </r>
  <r>
    <x v="72"/>
    <n v="929"/>
    <n v="37"/>
    <n v="21762"/>
    <x v="0"/>
    <x v="2"/>
  </r>
  <r>
    <x v="73"/>
    <n v="135"/>
    <n v="18"/>
    <n v="15694"/>
    <x v="2"/>
    <x v="0"/>
  </r>
  <r>
    <x v="74"/>
    <n v="116"/>
    <n v="420"/>
    <n v="8743"/>
    <x v="2"/>
    <x v="3"/>
  </r>
  <r>
    <x v="75"/>
    <n v="324"/>
    <n v="288"/>
    <n v="19080"/>
    <x v="4"/>
    <x v="0"/>
  </r>
  <r>
    <x v="76"/>
    <n v="137"/>
    <n v="329"/>
    <n v="39884"/>
    <x v="3"/>
    <x v="2"/>
  </r>
  <r>
    <x v="77"/>
    <n v="892"/>
    <n v="103"/>
    <n v="39957"/>
    <x v="2"/>
    <x v="2"/>
  </r>
  <r>
    <x v="78"/>
    <n v="29"/>
    <n v="41"/>
    <n v="19976"/>
    <x v="2"/>
    <x v="2"/>
  </r>
  <r>
    <x v="79"/>
    <n v="88"/>
    <n v="428"/>
    <n v="14500"/>
    <x v="4"/>
    <x v="2"/>
  </r>
  <r>
    <x v="80"/>
    <n v="472"/>
    <n v="21"/>
    <n v="9846"/>
    <x v="5"/>
    <x v="1"/>
  </r>
  <r>
    <x v="81"/>
    <n v="851"/>
    <n v="342"/>
    <n v="34979"/>
    <x v="4"/>
    <x v="3"/>
  </r>
  <r>
    <x v="82"/>
    <n v="569"/>
    <n v="55"/>
    <n v="25062"/>
    <x v="4"/>
    <x v="2"/>
  </r>
  <r>
    <x v="83"/>
    <n v="305"/>
    <n v="85"/>
    <n v="58276"/>
    <x v="1"/>
    <x v="1"/>
  </r>
  <r>
    <x v="84"/>
    <n v="765"/>
    <n v="496"/>
    <n v="12924"/>
    <x v="5"/>
    <x v="0"/>
  </r>
  <r>
    <x v="85"/>
    <n v="47"/>
    <n v="430"/>
    <n v="5738"/>
    <x v="2"/>
    <x v="3"/>
  </r>
  <r>
    <x v="86"/>
    <n v="249"/>
    <n v="152"/>
    <n v="15498"/>
    <x v="4"/>
    <x v="0"/>
  </r>
  <r>
    <x v="87"/>
    <n v="960"/>
    <n v="101"/>
    <n v="69498"/>
    <x v="4"/>
    <x v="2"/>
  </r>
  <r>
    <x v="88"/>
    <n v="397"/>
    <n v="357"/>
    <n v="25260"/>
    <x v="4"/>
    <x v="3"/>
  </r>
  <r>
    <x v="89"/>
    <n v="967"/>
    <n v="401"/>
    <n v="38010"/>
    <x v="2"/>
    <x v="0"/>
  </r>
  <r>
    <x v="90"/>
    <n v="951"/>
    <n v="26"/>
    <n v="8586"/>
    <x v="5"/>
    <x v="2"/>
  </r>
  <r>
    <x v="91"/>
    <n v="304"/>
    <n v="170"/>
    <n v="18529"/>
    <x v="4"/>
    <x v="2"/>
  </r>
  <r>
    <x v="92"/>
    <n v="559"/>
    <n v="160"/>
    <n v="57276"/>
    <x v="1"/>
    <x v="2"/>
  </r>
  <r>
    <x v="93"/>
    <n v="366"/>
    <n v="444"/>
    <n v="19808"/>
    <x v="4"/>
    <x v="0"/>
  </r>
  <r>
    <x v="94"/>
    <n v="527"/>
    <n v="135"/>
    <n v="61607"/>
    <x v="4"/>
    <x v="2"/>
  </r>
  <r>
    <x v="95"/>
    <n v="771"/>
    <n v="486"/>
    <n v="25200"/>
    <x v="2"/>
    <x v="0"/>
  </r>
  <r>
    <x v="96"/>
    <n v="548"/>
    <n v="86"/>
    <n v="66736"/>
    <x v="3"/>
    <x v="1"/>
  </r>
  <r>
    <x v="97"/>
    <n v="92"/>
    <n v="424"/>
    <n v="24724"/>
    <x v="5"/>
    <x v="1"/>
  </r>
  <r>
    <x v="98"/>
    <n v="983"/>
    <n v="143"/>
    <n v="75650"/>
    <x v="5"/>
    <x v="1"/>
  </r>
  <r>
    <x v="99"/>
    <n v="978"/>
    <n v="162"/>
    <n v="6000"/>
    <x v="0"/>
    <x v="0"/>
  </r>
  <r>
    <x v="100"/>
    <n v="48"/>
    <n v="306"/>
    <n v="40579"/>
    <x v="4"/>
    <x v="3"/>
  </r>
  <r>
    <x v="101"/>
    <n v="568"/>
    <n v="286"/>
    <n v="32895"/>
    <x v="2"/>
    <x v="1"/>
  </r>
  <r>
    <x v="102"/>
    <n v="38"/>
    <n v="42"/>
    <n v="4482"/>
    <x v="3"/>
    <x v="2"/>
  </r>
  <r>
    <x v="103"/>
    <n v="821"/>
    <n v="499"/>
    <n v="69285"/>
    <x v="4"/>
    <x v="2"/>
  </r>
  <r>
    <x v="104"/>
    <n v="893"/>
    <n v="10"/>
    <n v="91808"/>
    <x v="4"/>
    <x v="1"/>
  </r>
  <r>
    <x v="105"/>
    <n v="871"/>
    <n v="347"/>
    <n v="52650"/>
    <x v="5"/>
    <x v="0"/>
  </r>
  <r>
    <x v="106"/>
    <n v="215"/>
    <n v="413"/>
    <n v="25543"/>
    <x v="2"/>
    <x v="0"/>
  </r>
  <r>
    <x v="107"/>
    <n v="753"/>
    <n v="482"/>
    <n v="38753"/>
    <x v="0"/>
    <x v="2"/>
  </r>
  <r>
    <x v="108"/>
    <n v="17"/>
    <n v="285"/>
    <n v="40785"/>
    <x v="4"/>
    <x v="1"/>
  </r>
  <r>
    <x v="109"/>
    <n v="877"/>
    <n v="238"/>
    <n v="17613"/>
    <x v="2"/>
    <x v="0"/>
  </r>
  <r>
    <x v="110"/>
    <n v="236"/>
    <n v="369"/>
    <n v="44190"/>
    <x v="3"/>
    <x v="0"/>
  </r>
  <r>
    <x v="111"/>
    <n v="689"/>
    <n v="488"/>
    <n v="40000"/>
    <x v="2"/>
    <x v="0"/>
  </r>
  <r>
    <x v="112"/>
    <n v="97"/>
    <n v="44"/>
    <n v="42381"/>
    <x v="4"/>
    <x v="0"/>
  </r>
  <r>
    <x v="113"/>
    <n v="186"/>
    <n v="458"/>
    <n v="25928"/>
    <x v="0"/>
    <x v="1"/>
  </r>
  <r>
    <x v="21"/>
    <n v="451"/>
    <n v="405"/>
    <n v="20878"/>
    <x v="4"/>
    <x v="0"/>
  </r>
  <r>
    <x v="114"/>
    <n v="714"/>
    <n v="207"/>
    <n v="68265"/>
    <x v="4"/>
    <x v="3"/>
  </r>
  <r>
    <x v="115"/>
    <n v="675"/>
    <n v="478"/>
    <n v="9850"/>
    <x v="0"/>
    <x v="2"/>
  </r>
  <r>
    <x v="116"/>
    <n v="928"/>
    <n v="301"/>
    <n v="8580"/>
    <x v="2"/>
    <x v="3"/>
  </r>
  <r>
    <x v="102"/>
    <n v="701"/>
    <n v="412"/>
    <n v="4980"/>
    <x v="2"/>
    <x v="2"/>
  </r>
  <r>
    <x v="117"/>
    <n v="869"/>
    <n v="123"/>
    <n v="54912"/>
    <x v="1"/>
    <x v="2"/>
  </r>
  <r>
    <x v="118"/>
    <n v="649"/>
    <n v="140"/>
    <n v="21815"/>
    <x v="2"/>
    <x v="2"/>
  </r>
  <r>
    <x v="119"/>
    <n v="771"/>
    <n v="225"/>
    <n v="5152"/>
    <x v="3"/>
    <x v="1"/>
  </r>
  <r>
    <x v="120"/>
    <n v="866"/>
    <n v="216"/>
    <n v="34299"/>
    <x v="3"/>
    <x v="0"/>
  </r>
  <r>
    <x v="121"/>
    <n v="167"/>
    <n v="241"/>
    <n v="45738"/>
    <x v="3"/>
    <x v="2"/>
  </r>
  <r>
    <x v="15"/>
    <n v="652"/>
    <n v="442"/>
    <n v="65588"/>
    <x v="0"/>
    <x v="3"/>
  </r>
  <r>
    <x v="122"/>
    <n v="106"/>
    <n v="291"/>
    <n v="27828"/>
    <x v="4"/>
    <x v="0"/>
  </r>
  <r>
    <x v="123"/>
    <n v="430"/>
    <n v="393"/>
    <n v="17176"/>
    <x v="1"/>
    <x v="0"/>
  </r>
  <r>
    <x v="124"/>
    <n v="439"/>
    <n v="44"/>
    <n v="38168"/>
    <x v="0"/>
    <x v="1"/>
  </r>
  <r>
    <x v="125"/>
    <n v="658"/>
    <n v="211"/>
    <n v="43560"/>
    <x v="0"/>
    <x v="2"/>
  </r>
  <r>
    <x v="126"/>
    <n v="842"/>
    <n v="101"/>
    <n v="21417"/>
    <x v="2"/>
    <x v="2"/>
  </r>
  <r>
    <x v="127"/>
    <n v="532"/>
    <n v="71"/>
    <n v="37296"/>
    <x v="4"/>
    <x v="3"/>
  </r>
  <r>
    <x v="128"/>
    <n v="115"/>
    <n v="135"/>
    <n v="55965"/>
    <x v="0"/>
    <x v="0"/>
  </r>
  <r>
    <x v="129"/>
    <n v="253"/>
    <n v="434"/>
    <n v="75834"/>
    <x v="1"/>
    <x v="3"/>
  </r>
  <r>
    <x v="130"/>
    <n v="888"/>
    <n v="444"/>
    <n v="21938"/>
    <x v="1"/>
    <x v="2"/>
  </r>
  <r>
    <x v="131"/>
    <n v="94"/>
    <n v="37"/>
    <n v="15040"/>
    <x v="5"/>
    <x v="3"/>
  </r>
  <r>
    <x v="132"/>
    <n v="187"/>
    <n v="243"/>
    <n v="4575"/>
    <x v="4"/>
    <x v="0"/>
  </r>
  <r>
    <x v="133"/>
    <n v="156"/>
    <n v="203"/>
    <n v="32952"/>
    <x v="1"/>
    <x v="1"/>
  </r>
  <r>
    <x v="134"/>
    <n v="78"/>
    <n v="485"/>
    <n v="18328"/>
    <x v="4"/>
    <x v="3"/>
  </r>
  <r>
    <x v="135"/>
    <n v="857"/>
    <n v="379"/>
    <n v="19020"/>
    <x v="4"/>
    <x v="0"/>
  </r>
  <r>
    <x v="136"/>
    <n v="275"/>
    <n v="386"/>
    <n v="39330"/>
    <x v="2"/>
    <x v="1"/>
  </r>
  <r>
    <x v="137"/>
    <n v="362"/>
    <n v="80"/>
    <n v="1040"/>
    <x v="3"/>
    <x v="1"/>
  </r>
  <r>
    <x v="138"/>
    <n v="749"/>
    <n v="452"/>
    <n v="93651"/>
    <x v="2"/>
    <x v="1"/>
  </r>
  <r>
    <x v="139"/>
    <n v="62"/>
    <n v="179"/>
    <n v="37560"/>
    <x v="3"/>
    <x v="2"/>
  </r>
  <r>
    <x v="140"/>
    <n v="772"/>
    <n v="142"/>
    <n v="18390"/>
    <x v="0"/>
    <x v="1"/>
  </r>
  <r>
    <x v="141"/>
    <n v="459"/>
    <n v="266"/>
    <n v="26048"/>
    <x v="0"/>
    <x v="2"/>
  </r>
  <r>
    <x v="142"/>
    <n v="466"/>
    <n v="327"/>
    <n v="24798"/>
    <x v="5"/>
    <x v="2"/>
  </r>
  <r>
    <x v="143"/>
    <n v="750"/>
    <n v="179"/>
    <n v="34040"/>
    <x v="5"/>
    <x v="0"/>
  </r>
  <r>
    <x v="144"/>
    <n v="853"/>
    <n v="325"/>
    <n v="85900"/>
    <x v="3"/>
    <x v="1"/>
  </r>
  <r>
    <x v="145"/>
    <n v="59"/>
    <n v="289"/>
    <n v="35590"/>
    <x v="4"/>
    <x v="2"/>
  </r>
  <r>
    <x v="146"/>
    <n v="550"/>
    <n v="270"/>
    <n v="28824"/>
    <x v="4"/>
    <x v="3"/>
  </r>
  <r>
    <x v="147"/>
    <n v="197"/>
    <n v="257"/>
    <n v="6786"/>
    <x v="5"/>
    <x v="0"/>
  </r>
  <r>
    <x v="148"/>
    <n v="932"/>
    <n v="287"/>
    <n v="6895"/>
    <x v="3"/>
    <x v="2"/>
  </r>
  <r>
    <x v="149"/>
    <n v="210"/>
    <n v="130"/>
    <n v="22830"/>
    <x v="4"/>
    <x v="1"/>
  </r>
  <r>
    <x v="150"/>
    <n v="941"/>
    <n v="482"/>
    <n v="43576"/>
    <x v="3"/>
    <x v="3"/>
  </r>
  <r>
    <x v="151"/>
    <n v="173"/>
    <n v="206"/>
    <n v="47750"/>
    <x v="2"/>
    <x v="1"/>
  </r>
  <r>
    <x v="152"/>
    <n v="405"/>
    <n v="423"/>
    <n v="22906"/>
    <x v="2"/>
    <x v="2"/>
  </r>
  <r>
    <x v="153"/>
    <n v="158"/>
    <n v="488"/>
    <n v="12720"/>
    <x v="2"/>
    <x v="3"/>
  </r>
  <r>
    <x v="154"/>
    <n v="209"/>
    <n v="484"/>
    <n v="19476"/>
    <x v="5"/>
    <x v="0"/>
  </r>
  <r>
    <x v="155"/>
    <n v="876"/>
    <n v="366"/>
    <n v="51381"/>
    <x v="1"/>
    <x v="0"/>
  </r>
  <r>
    <x v="156"/>
    <n v="566"/>
    <n v="164"/>
    <n v="48020"/>
    <x v="2"/>
    <x v="3"/>
  </r>
  <r>
    <x v="157"/>
    <n v="375"/>
    <n v="323"/>
    <n v="22505"/>
    <x v="4"/>
    <x v="2"/>
  </r>
  <r>
    <x v="158"/>
    <n v="971"/>
    <n v="156"/>
    <n v="39472"/>
    <x v="1"/>
    <x v="1"/>
  </r>
  <r>
    <x v="159"/>
    <n v="43"/>
    <n v="211"/>
    <n v="22673"/>
    <x v="1"/>
    <x v="0"/>
  </r>
  <r>
    <x v="160"/>
    <n v="313"/>
    <n v="306"/>
    <n v="11836"/>
    <x v="0"/>
    <x v="0"/>
  </r>
  <r>
    <x v="161"/>
    <n v="818"/>
    <n v="56"/>
    <n v="57252"/>
    <x v="1"/>
    <x v="2"/>
  </r>
  <r>
    <x v="162"/>
    <n v="754"/>
    <n v="54"/>
    <n v="43524"/>
    <x v="1"/>
    <x v="3"/>
  </r>
  <r>
    <x v="163"/>
    <n v="273"/>
    <n v="200"/>
    <n v="34281"/>
    <x v="5"/>
    <x v="1"/>
  </r>
  <r>
    <x v="164"/>
    <n v="596"/>
    <n v="493"/>
    <n v="67963"/>
    <x v="1"/>
    <x v="0"/>
  </r>
  <r>
    <x v="165"/>
    <n v="447"/>
    <n v="332"/>
    <n v="18324"/>
    <x v="5"/>
    <x v="1"/>
  </r>
  <r>
    <x v="166"/>
    <n v="553"/>
    <n v="174"/>
    <n v="52241"/>
    <x v="3"/>
    <x v="3"/>
  </r>
  <r>
    <x v="167"/>
    <n v="925"/>
    <n v="35"/>
    <n v="15960"/>
    <x v="5"/>
    <x v="0"/>
  </r>
  <r>
    <x v="168"/>
    <n v="148"/>
    <n v="253"/>
    <n v="30624"/>
    <x v="1"/>
    <x v="3"/>
  </r>
  <r>
    <x v="169"/>
    <n v="784"/>
    <n v="183"/>
    <n v="1704"/>
    <x v="0"/>
    <x v="2"/>
  </r>
  <r>
    <x v="170"/>
    <n v="31"/>
    <n v="279"/>
    <n v="75960"/>
    <x v="5"/>
    <x v="3"/>
  </r>
  <r>
    <x v="171"/>
    <n v="694"/>
    <n v="171"/>
    <n v="43386"/>
    <x v="3"/>
    <x v="2"/>
  </r>
  <r>
    <x v="172"/>
    <n v="643"/>
    <n v="136"/>
    <n v="1290"/>
    <x v="5"/>
    <x v="2"/>
  </r>
  <r>
    <x v="173"/>
    <n v="667"/>
    <n v="395"/>
    <n v="64532"/>
    <x v="3"/>
    <x v="3"/>
  </r>
  <r>
    <x v="174"/>
    <n v="352"/>
    <n v="290"/>
    <n v="48243"/>
    <x v="1"/>
    <x v="1"/>
  </r>
  <r>
    <x v="175"/>
    <n v="789"/>
    <n v="470"/>
    <n v="7878"/>
    <x v="4"/>
    <x v="1"/>
  </r>
  <r>
    <x v="176"/>
    <n v="134"/>
    <n v="403"/>
    <n v="51579"/>
    <x v="4"/>
    <x v="3"/>
  </r>
  <r>
    <x v="177"/>
    <n v="590"/>
    <n v="393"/>
    <n v="4680"/>
    <x v="2"/>
    <x v="2"/>
  </r>
  <r>
    <x v="178"/>
    <n v="960"/>
    <n v="202"/>
    <n v="32150"/>
    <x v="4"/>
    <x v="0"/>
  </r>
  <r>
    <x v="179"/>
    <n v="61"/>
    <n v="157"/>
    <n v="49753"/>
    <x v="3"/>
    <x v="2"/>
  </r>
  <r>
    <x v="180"/>
    <n v="51"/>
    <n v="392"/>
    <n v="55796"/>
    <x v="3"/>
    <x v="3"/>
  </r>
  <r>
    <x v="181"/>
    <n v="546"/>
    <n v="150"/>
    <n v="27948"/>
    <x v="0"/>
    <x v="0"/>
  </r>
  <r>
    <x v="182"/>
    <n v="533"/>
    <n v="215"/>
    <n v="40920"/>
    <x v="0"/>
    <x v="1"/>
  </r>
  <r>
    <x v="183"/>
    <n v="525"/>
    <n v="500"/>
    <n v="60480"/>
    <x v="0"/>
    <x v="3"/>
  </r>
  <r>
    <x v="184"/>
    <n v="213"/>
    <n v="19"/>
    <n v="39260"/>
    <x v="1"/>
    <x v="1"/>
  </r>
  <r>
    <x v="185"/>
    <n v="886"/>
    <n v="376"/>
    <n v="55705"/>
    <x v="2"/>
    <x v="1"/>
  </r>
  <r>
    <x v="186"/>
    <n v="464"/>
    <n v="394"/>
    <n v="14112"/>
    <x v="5"/>
    <x v="2"/>
  </r>
  <r>
    <x v="187"/>
    <n v="317"/>
    <n v="129"/>
    <n v="53438"/>
    <x v="4"/>
    <x v="0"/>
  </r>
  <r>
    <x v="188"/>
    <n v="771"/>
    <n v="7"/>
    <n v="60900"/>
    <x v="2"/>
    <x v="1"/>
  </r>
  <r>
    <x v="189"/>
    <n v="464"/>
    <n v="246"/>
    <n v="11882"/>
    <x v="3"/>
    <x v="2"/>
  </r>
  <r>
    <x v="190"/>
    <n v="623"/>
    <n v="72"/>
    <n v="19943"/>
    <x v="1"/>
    <x v="2"/>
  </r>
  <r>
    <x v="191"/>
    <n v="721"/>
    <n v="82"/>
    <n v="86076"/>
    <x v="0"/>
    <x v="0"/>
  </r>
  <r>
    <x v="192"/>
    <n v="374"/>
    <n v="450"/>
    <n v="9432"/>
    <x v="4"/>
    <x v="0"/>
  </r>
  <r>
    <x v="193"/>
    <n v="324"/>
    <n v="171"/>
    <n v="35126"/>
    <x v="3"/>
    <x v="1"/>
  </r>
  <r>
    <x v="194"/>
    <n v="385"/>
    <n v="310"/>
    <n v="70642"/>
    <x v="0"/>
    <x v="3"/>
  </r>
  <r>
    <x v="195"/>
    <n v="262"/>
    <n v="244"/>
    <n v="14436"/>
    <x v="0"/>
    <x v="0"/>
  </r>
  <r>
    <x v="196"/>
    <n v="252"/>
    <n v="335"/>
    <n v="29936"/>
    <x v="4"/>
    <x v="3"/>
  </r>
  <r>
    <x v="197"/>
    <n v="299"/>
    <n v="38"/>
    <n v="71687"/>
    <x v="3"/>
    <x v="2"/>
  </r>
  <r>
    <x v="198"/>
    <n v="653"/>
    <n v="432"/>
    <n v="11170"/>
    <x v="3"/>
    <x v="2"/>
  </r>
  <r>
    <x v="199"/>
    <n v="697"/>
    <n v="268"/>
    <n v="45840"/>
    <x v="5"/>
    <x v="0"/>
  </r>
  <r>
    <x v="200"/>
    <n v="121"/>
    <n v="458"/>
    <n v="14115"/>
    <x v="1"/>
    <x v="0"/>
  </r>
  <r>
    <x v="201"/>
    <n v="340"/>
    <n v="281"/>
    <n v="34192"/>
    <x v="3"/>
    <x v="0"/>
  </r>
  <r>
    <x v="202"/>
    <n v="476"/>
    <n v="403"/>
    <n v="44235"/>
    <x v="5"/>
    <x v="1"/>
  </r>
  <r>
    <x v="203"/>
    <n v="204"/>
    <n v="297"/>
    <n v="44240"/>
    <x v="5"/>
    <x v="0"/>
  </r>
  <r>
    <x v="204"/>
    <n v="966"/>
    <n v="398"/>
    <n v="3341"/>
    <x v="4"/>
    <x v="1"/>
  </r>
  <r>
    <x v="153"/>
    <n v="38"/>
    <n v="212"/>
    <n v="12720"/>
    <x v="3"/>
    <x v="0"/>
  </r>
  <r>
    <x v="205"/>
    <n v="884"/>
    <n v="19"/>
    <n v="38740"/>
    <x v="5"/>
    <x v="1"/>
  </r>
  <r>
    <x v="206"/>
    <n v="628"/>
    <n v="443"/>
    <n v="45832"/>
    <x v="3"/>
    <x v="3"/>
  </r>
  <r>
    <x v="207"/>
    <n v="746"/>
    <n v="315"/>
    <n v="4168"/>
    <x v="4"/>
    <x v="2"/>
  </r>
  <r>
    <x v="208"/>
    <n v="925"/>
    <n v="176"/>
    <n v="82824"/>
    <x v="4"/>
    <x v="3"/>
  </r>
  <r>
    <x v="209"/>
    <n v="88"/>
    <n v="163"/>
    <n v="30180"/>
    <x v="2"/>
    <x v="1"/>
  </r>
  <r>
    <x v="210"/>
    <n v="931"/>
    <n v="230"/>
    <n v="92120"/>
    <x v="4"/>
    <x v="3"/>
  </r>
  <r>
    <x v="211"/>
    <n v="453"/>
    <n v="490"/>
    <n v="14952"/>
    <x v="3"/>
    <x v="3"/>
  </r>
  <r>
    <x v="212"/>
    <n v="470"/>
    <n v="174"/>
    <n v="7128"/>
    <x v="0"/>
    <x v="0"/>
  </r>
  <r>
    <x v="213"/>
    <n v="897"/>
    <n v="85"/>
    <n v="588"/>
    <x v="2"/>
    <x v="2"/>
  </r>
  <r>
    <x v="214"/>
    <n v="111"/>
    <n v="420"/>
    <n v="31171"/>
    <x v="5"/>
    <x v="3"/>
  </r>
  <r>
    <x v="215"/>
    <n v="653"/>
    <n v="363"/>
    <n v="25396"/>
    <x v="0"/>
    <x v="3"/>
  </r>
  <r>
    <x v="216"/>
    <n v="277"/>
    <n v="118"/>
    <n v="60084"/>
    <x v="4"/>
    <x v="0"/>
  </r>
  <r>
    <x v="217"/>
    <n v="594"/>
    <n v="156"/>
    <n v="4214"/>
    <x v="4"/>
    <x v="3"/>
  </r>
  <r>
    <x v="218"/>
    <n v="325"/>
    <n v="32"/>
    <n v="88768"/>
    <x v="3"/>
    <x v="0"/>
  </r>
  <r>
    <x v="219"/>
    <n v="164"/>
    <n v="318"/>
    <n v="8705"/>
    <x v="3"/>
    <x v="2"/>
  </r>
  <r>
    <x v="220"/>
    <n v="149"/>
    <n v="130"/>
    <n v="4674"/>
    <x v="1"/>
    <x v="2"/>
  </r>
  <r>
    <x v="221"/>
    <n v="772"/>
    <n v="320"/>
    <n v="72120"/>
    <x v="2"/>
    <x v="2"/>
  </r>
  <r>
    <x v="222"/>
    <n v="694"/>
    <n v="289"/>
    <n v="43191"/>
    <x v="3"/>
    <x v="2"/>
  </r>
  <r>
    <x v="223"/>
    <n v="17"/>
    <n v="295"/>
    <n v="51282"/>
    <x v="0"/>
    <x v="3"/>
  </r>
  <r>
    <x v="224"/>
    <n v="376"/>
    <n v="33"/>
    <n v="21450"/>
    <x v="1"/>
    <x v="2"/>
  </r>
  <r>
    <x v="225"/>
    <n v="592"/>
    <n v="230"/>
    <n v="1494"/>
    <x v="2"/>
    <x v="0"/>
  </r>
  <r>
    <x v="226"/>
    <n v="265"/>
    <n v="134"/>
    <n v="38112"/>
    <x v="4"/>
    <x v="3"/>
  </r>
  <r>
    <x v="227"/>
    <n v="465"/>
    <n v="99"/>
    <n v="24168"/>
    <x v="1"/>
    <x v="3"/>
  </r>
  <r>
    <x v="228"/>
    <n v="941"/>
    <n v="376"/>
    <n v="35156"/>
    <x v="4"/>
    <x v="3"/>
  </r>
  <r>
    <x v="229"/>
    <n v="19"/>
    <n v="351"/>
    <n v="12570"/>
    <x v="1"/>
    <x v="3"/>
  </r>
  <r>
    <x v="230"/>
    <n v="917"/>
    <n v="129"/>
    <n v="71630"/>
    <x v="2"/>
    <x v="2"/>
  </r>
  <r>
    <x v="231"/>
    <n v="400"/>
    <n v="362"/>
    <n v="75600"/>
    <x v="1"/>
    <x v="0"/>
  </r>
  <r>
    <x v="232"/>
    <n v="942"/>
    <n v="118"/>
    <n v="20940"/>
    <x v="1"/>
    <x v="1"/>
  </r>
  <r>
    <x v="233"/>
    <n v="192"/>
    <n v="322"/>
    <n v="16722"/>
    <x v="3"/>
    <x v="0"/>
  </r>
  <r>
    <x v="234"/>
    <n v="874"/>
    <n v="172"/>
    <n v="30247"/>
    <x v="2"/>
    <x v="3"/>
  </r>
  <r>
    <x v="235"/>
    <n v="190"/>
    <n v="340"/>
    <n v="28602"/>
    <x v="0"/>
    <x v="3"/>
  </r>
  <r>
    <x v="236"/>
    <n v="911"/>
    <n v="375"/>
    <n v="50288"/>
    <x v="4"/>
    <x v="0"/>
  </r>
  <r>
    <x v="237"/>
    <n v="935"/>
    <n v="433"/>
    <n v="23305"/>
    <x v="5"/>
    <x v="1"/>
  </r>
  <r>
    <x v="238"/>
    <n v="824"/>
    <n v="99"/>
    <n v="41340"/>
    <x v="0"/>
    <x v="3"/>
  </r>
  <r>
    <x v="239"/>
    <n v="680"/>
    <n v="434"/>
    <n v="6400"/>
    <x v="4"/>
    <x v="3"/>
  </r>
  <r>
    <x v="240"/>
    <n v="266"/>
    <n v="8"/>
    <n v="35640"/>
    <x v="0"/>
    <x v="3"/>
  </r>
  <r>
    <x v="241"/>
    <n v="126"/>
    <n v="153"/>
    <n v="4430"/>
    <x v="2"/>
    <x v="3"/>
  </r>
  <r>
    <x v="242"/>
    <n v="77"/>
    <n v="402"/>
    <n v="14886"/>
    <x v="4"/>
    <x v="0"/>
  </r>
  <r>
    <x v="243"/>
    <n v="935"/>
    <n v="274"/>
    <n v="68634"/>
    <x v="0"/>
    <x v="3"/>
  </r>
  <r>
    <x v="244"/>
    <n v="796"/>
    <n v="387"/>
    <n v="22032"/>
    <x v="3"/>
    <x v="2"/>
  </r>
  <r>
    <x v="245"/>
    <n v="476"/>
    <n v="69"/>
    <n v="16712"/>
    <x v="3"/>
    <x v="3"/>
  </r>
  <r>
    <x v="246"/>
    <n v="593"/>
    <n v="228"/>
    <n v="53074"/>
    <x v="0"/>
    <x v="0"/>
  </r>
  <r>
    <x v="247"/>
    <n v="115"/>
    <n v="64"/>
    <n v="21536"/>
    <x v="4"/>
    <x v="0"/>
  </r>
  <r>
    <x v="248"/>
    <n v="514"/>
    <n v="238"/>
    <n v="37670"/>
    <x v="2"/>
    <x v="3"/>
  </r>
  <r>
    <x v="249"/>
    <n v="12"/>
    <n v="204"/>
    <n v="40717"/>
    <x v="3"/>
    <x v="1"/>
  </r>
  <r>
    <x v="250"/>
    <n v="697"/>
    <n v="164"/>
    <n v="49440"/>
    <x v="4"/>
    <x v="3"/>
  </r>
  <r>
    <x v="251"/>
    <n v="695"/>
    <n v="75"/>
    <n v="21606"/>
    <x v="2"/>
    <x v="2"/>
  </r>
  <r>
    <x v="252"/>
    <n v="158"/>
    <n v="149"/>
    <n v="3372"/>
    <x v="1"/>
    <x v="3"/>
  </r>
  <r>
    <x v="253"/>
    <n v="771"/>
    <n v="219"/>
    <n v="60648"/>
    <x v="2"/>
    <x v="2"/>
  </r>
  <r>
    <x v="254"/>
    <n v="837"/>
    <n v="340"/>
    <n v="72795"/>
    <x v="4"/>
    <x v="2"/>
  </r>
  <r>
    <x v="255"/>
    <n v="238"/>
    <n v="36"/>
    <n v="9648"/>
    <x v="4"/>
    <x v="1"/>
  </r>
  <r>
    <x v="256"/>
    <n v="690"/>
    <n v="205"/>
    <n v="13015"/>
    <x v="0"/>
    <x v="2"/>
  </r>
  <r>
    <x v="257"/>
    <n v="163"/>
    <n v="93"/>
    <n v="590"/>
    <x v="4"/>
    <x v="0"/>
  </r>
  <r>
    <x v="258"/>
    <n v="745"/>
    <n v="225"/>
    <n v="11262"/>
    <x v="3"/>
    <x v="0"/>
  </r>
  <r>
    <x v="259"/>
    <n v="640"/>
    <n v="240"/>
    <n v="50184"/>
    <x v="2"/>
    <x v="3"/>
  </r>
  <r>
    <x v="260"/>
    <n v="66"/>
    <n v="31"/>
    <n v="66992"/>
    <x v="0"/>
    <x v="0"/>
  </r>
  <r>
    <x v="261"/>
    <n v="125"/>
    <n v="300"/>
    <n v="59527"/>
    <x v="0"/>
    <x v="2"/>
  </r>
  <r>
    <x v="262"/>
    <n v="51"/>
    <n v="441"/>
    <n v="22805"/>
    <x v="5"/>
    <x v="2"/>
  </r>
  <r>
    <x v="263"/>
    <n v="239"/>
    <n v="39"/>
    <n v="60384"/>
    <x v="0"/>
    <x v="1"/>
  </r>
  <r>
    <x v="264"/>
    <n v="749"/>
    <n v="111"/>
    <n v="21450"/>
    <x v="5"/>
    <x v="2"/>
  </r>
  <r>
    <x v="265"/>
    <n v="414"/>
    <n v="266"/>
    <n v="39528"/>
    <x v="1"/>
    <x v="2"/>
  </r>
  <r>
    <x v="266"/>
    <n v="226"/>
    <n v="46"/>
    <n v="40051"/>
    <x v="2"/>
    <x v="1"/>
  </r>
  <r>
    <x v="267"/>
    <n v="494"/>
    <n v="152"/>
    <n v="53025"/>
    <x v="3"/>
    <x v="0"/>
  </r>
  <r>
    <x v="219"/>
    <n v="831"/>
    <n v="345"/>
    <n v="17410"/>
    <x v="0"/>
    <x v="3"/>
  </r>
  <r>
    <x v="268"/>
    <n v="195"/>
    <n v="131"/>
    <n v="9336"/>
    <x v="3"/>
    <x v="0"/>
  </r>
  <r>
    <x v="269"/>
    <n v="711"/>
    <n v="298"/>
    <n v="21180"/>
    <x v="4"/>
    <x v="3"/>
  </r>
  <r>
    <x v="270"/>
    <n v="836"/>
    <n v="169"/>
    <n v="49676"/>
    <x v="1"/>
    <x v="0"/>
  </r>
  <r>
    <x v="271"/>
    <n v="845"/>
    <n v="129"/>
    <n v="98100"/>
    <x v="4"/>
    <x v="1"/>
  </r>
  <r>
    <x v="272"/>
    <n v="680"/>
    <n v="385"/>
    <n v="64125"/>
    <x v="5"/>
    <x v="1"/>
  </r>
  <r>
    <x v="273"/>
    <n v="90"/>
    <n v="341"/>
    <n v="56988"/>
    <x v="4"/>
    <x v="1"/>
  </r>
  <r>
    <x v="274"/>
    <n v="417"/>
    <n v="168"/>
    <n v="19344"/>
    <x v="5"/>
    <x v="2"/>
  </r>
  <r>
    <x v="275"/>
    <n v="302"/>
    <n v="57"/>
    <n v="63973"/>
    <x v="0"/>
    <x v="0"/>
  </r>
  <r>
    <x v="276"/>
    <n v="190"/>
    <n v="352"/>
    <n v="9707"/>
    <x v="1"/>
    <x v="0"/>
  </r>
  <r>
    <x v="277"/>
    <n v="794"/>
    <n v="77"/>
    <n v="36189"/>
    <x v="1"/>
    <x v="1"/>
  </r>
  <r>
    <x v="278"/>
    <n v="344"/>
    <n v="229"/>
    <n v="20334"/>
    <x v="5"/>
    <x v="1"/>
  </r>
  <r>
    <x v="279"/>
    <n v="616"/>
    <n v="324"/>
    <n v="6984"/>
    <x v="0"/>
    <x v="2"/>
  </r>
  <r>
    <x v="280"/>
    <n v="691"/>
    <n v="380"/>
    <n v="86040"/>
    <x v="3"/>
    <x v="1"/>
  </r>
  <r>
    <x v="281"/>
    <n v="33"/>
    <n v="430"/>
    <n v="44016"/>
    <x v="3"/>
    <x v="3"/>
  </r>
  <r>
    <x v="282"/>
    <n v="550"/>
    <n v="349"/>
    <n v="35819"/>
    <x v="3"/>
    <x v="2"/>
  </r>
  <r>
    <x v="283"/>
    <n v="145"/>
    <n v="225"/>
    <n v="69945"/>
    <x v="5"/>
    <x v="3"/>
  </r>
  <r>
    <x v="284"/>
    <n v="297"/>
    <n v="345"/>
    <n v="12320"/>
    <x v="1"/>
    <x v="3"/>
  </r>
  <r>
    <x v="285"/>
    <n v="726"/>
    <n v="241"/>
    <n v="28974"/>
    <x v="1"/>
    <x v="3"/>
  </r>
  <r>
    <x v="286"/>
    <n v="173"/>
    <n v="276"/>
    <n v="28386"/>
    <x v="3"/>
    <x v="3"/>
  </r>
  <r>
    <x v="287"/>
    <n v="344"/>
    <n v="287"/>
    <n v="15616"/>
    <x v="4"/>
    <x v="0"/>
  </r>
  <r>
    <x v="288"/>
    <n v="13"/>
    <n v="20"/>
    <n v="58480"/>
    <x v="5"/>
    <x v="0"/>
  </r>
  <r>
    <x v="289"/>
    <n v="354"/>
    <n v="117"/>
    <n v="10830"/>
    <x v="1"/>
    <x v="0"/>
  </r>
  <r>
    <x v="290"/>
    <n v="451"/>
    <n v="286"/>
    <n v="86060"/>
    <x v="4"/>
    <x v="3"/>
  </r>
  <r>
    <x v="291"/>
    <n v="517"/>
    <n v="117"/>
    <n v="23229"/>
    <x v="4"/>
    <x v="3"/>
  </r>
  <r>
    <x v="292"/>
    <n v="717"/>
    <n v="45"/>
    <n v="62916"/>
    <x v="3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15"/>
    <x v="0"/>
    <x v="0"/>
    <x v="0"/>
  </r>
  <r>
    <n v="117"/>
    <x v="1"/>
    <x v="1"/>
    <x v="0"/>
  </r>
  <r>
    <n v="204"/>
    <x v="1"/>
    <x v="2"/>
    <x v="0"/>
  </r>
  <r>
    <n v="128"/>
    <x v="2"/>
    <x v="2"/>
    <x v="0"/>
  </r>
  <r>
    <n v="224"/>
    <x v="2"/>
    <x v="3"/>
    <x v="0"/>
  </r>
  <r>
    <n v="256"/>
    <x v="1"/>
    <x v="2"/>
    <x v="0"/>
  </r>
  <r>
    <n v="235"/>
    <x v="1"/>
    <x v="2"/>
    <x v="0"/>
  </r>
  <r>
    <n v="39"/>
    <x v="2"/>
    <x v="2"/>
    <x v="0"/>
  </r>
  <r>
    <n v="131"/>
    <x v="1"/>
    <x v="2"/>
    <x v="0"/>
  </r>
  <r>
    <n v="167"/>
    <x v="1"/>
    <x v="2"/>
    <x v="0"/>
  </r>
  <r>
    <n v="65"/>
    <x v="0"/>
    <x v="2"/>
    <x v="0"/>
  </r>
  <r>
    <n v="213"/>
    <x v="0"/>
    <x v="2"/>
    <x v="0"/>
  </r>
  <r>
    <n v="114"/>
    <x v="2"/>
    <x v="2"/>
    <x v="0"/>
  </r>
  <r>
    <n v="265"/>
    <x v="0"/>
    <x v="2"/>
    <x v="0"/>
  </r>
  <r>
    <n v="20"/>
    <x v="0"/>
    <x v="2"/>
    <x v="0"/>
  </r>
  <r>
    <n v="87"/>
    <x v="0"/>
    <x v="2"/>
    <x v="0"/>
  </r>
  <r>
    <n v="159"/>
    <x v="2"/>
    <x v="2"/>
    <x v="0"/>
  </r>
  <r>
    <n v="19"/>
    <x v="0"/>
    <x v="2"/>
    <x v="0"/>
  </r>
  <r>
    <n v="103"/>
    <x v="1"/>
    <x v="2"/>
    <x v="0"/>
  </r>
  <r>
    <n v="25"/>
    <x v="1"/>
    <x v="2"/>
    <x v="0"/>
  </r>
  <r>
    <n v="83"/>
    <x v="0"/>
    <x v="2"/>
    <x v="0"/>
  </r>
  <r>
    <n v="133"/>
    <x v="1"/>
    <x v="2"/>
    <x v="0"/>
  </r>
  <r>
    <n v="225"/>
    <x v="1"/>
    <x v="0"/>
    <x v="0"/>
  </r>
  <r>
    <n v="161"/>
    <x v="0"/>
    <x v="2"/>
    <x v="0"/>
  </r>
  <r>
    <n v="238"/>
    <x v="2"/>
    <x v="2"/>
    <x v="0"/>
  </r>
  <r>
    <n v="211"/>
    <x v="0"/>
    <x v="2"/>
    <x v="0"/>
  </r>
  <r>
    <n v="51"/>
    <x v="0"/>
    <x v="2"/>
    <x v="0"/>
  </r>
  <r>
    <n v="79"/>
    <x v="0"/>
    <x v="2"/>
    <x v="0"/>
  </r>
  <r>
    <n v="221"/>
    <x v="0"/>
    <x v="2"/>
    <x v="0"/>
  </r>
  <r>
    <n v="93"/>
    <x v="2"/>
    <x v="2"/>
    <x v="0"/>
  </r>
  <r>
    <n v="282"/>
    <x v="1"/>
    <x v="2"/>
    <x v="0"/>
  </r>
  <r>
    <n v="275"/>
    <x v="2"/>
    <x v="2"/>
    <x v="0"/>
  </r>
  <r>
    <n v="113"/>
    <x v="1"/>
    <x v="2"/>
    <x v="0"/>
  </r>
  <r>
    <n v="215"/>
    <x v="1"/>
    <x v="2"/>
    <x v="0"/>
  </r>
  <r>
    <n v="271"/>
    <x v="0"/>
    <x v="2"/>
    <x v="0"/>
  </r>
  <r>
    <n v="31"/>
    <x v="2"/>
    <x v="2"/>
    <x v="0"/>
  </r>
  <r>
    <n v="36"/>
    <x v="2"/>
    <x v="2"/>
    <x v="0"/>
  </r>
  <r>
    <n v="87"/>
    <x v="1"/>
    <x v="2"/>
    <x v="0"/>
  </r>
  <r>
    <n v="92"/>
    <x v="1"/>
    <x v="2"/>
    <x v="0"/>
  </r>
  <r>
    <n v="299"/>
    <x v="2"/>
    <x v="2"/>
    <x v="0"/>
  </r>
  <r>
    <n v="205"/>
    <x v="0"/>
    <x v="2"/>
    <x v="0"/>
  </r>
  <r>
    <n v="241"/>
    <x v="2"/>
    <x v="2"/>
    <x v="0"/>
  </r>
  <r>
    <n v="137"/>
    <x v="1"/>
    <x v="2"/>
    <x v="0"/>
  </r>
  <r>
    <n v="216"/>
    <x v="1"/>
    <x v="2"/>
    <x v="0"/>
  </r>
  <r>
    <n v="176"/>
    <x v="0"/>
    <x v="2"/>
    <x v="0"/>
  </r>
  <r>
    <n v="97"/>
    <x v="1"/>
    <x v="2"/>
    <x v="0"/>
  </r>
  <r>
    <n v="127"/>
    <x v="0"/>
    <x v="2"/>
    <x v="0"/>
  </r>
  <r>
    <n v="119"/>
    <x v="1"/>
    <x v="2"/>
    <x v="0"/>
  </r>
  <r>
    <n v="177"/>
    <x v="1"/>
    <x v="2"/>
    <x v="0"/>
  </r>
  <r>
    <n v="112"/>
    <x v="1"/>
    <x v="2"/>
    <x v="0"/>
  </r>
  <r>
    <n v="225"/>
    <x v="0"/>
    <x v="2"/>
    <x v="0"/>
  </r>
  <r>
    <n v="34"/>
    <x v="1"/>
    <x v="2"/>
    <x v="0"/>
  </r>
  <r>
    <n v="11"/>
    <x v="2"/>
    <x v="1"/>
    <x v="0"/>
  </r>
  <r>
    <n v="52"/>
    <x v="0"/>
    <x v="2"/>
    <x v="0"/>
  </r>
  <r>
    <n v="123"/>
    <x v="2"/>
    <x v="2"/>
    <x v="0"/>
  </r>
  <r>
    <n v="60"/>
    <x v="0"/>
    <x v="2"/>
    <x v="0"/>
  </r>
  <r>
    <n v="169"/>
    <x v="1"/>
    <x v="2"/>
    <x v="0"/>
  </r>
  <r>
    <n v="262"/>
    <x v="1"/>
    <x v="2"/>
    <x v="0"/>
  </r>
  <r>
    <n v="174"/>
    <x v="2"/>
    <x v="2"/>
    <x v="0"/>
  </r>
  <r>
    <n v="84"/>
    <x v="2"/>
    <x v="3"/>
    <x v="1"/>
  </r>
  <r>
    <n v="65"/>
    <x v="1"/>
    <x v="2"/>
    <x v="0"/>
  </r>
  <r>
    <n v="148"/>
    <x v="1"/>
    <x v="2"/>
    <x v="0"/>
  </r>
  <r>
    <n v="125"/>
    <x v="0"/>
    <x v="2"/>
    <x v="0"/>
  </r>
  <r>
    <n v="75"/>
    <x v="0"/>
    <x v="2"/>
    <x v="0"/>
  </r>
  <r>
    <n v="289"/>
    <x v="2"/>
    <x v="2"/>
    <x v="0"/>
  </r>
  <r>
    <n v="184"/>
    <x v="2"/>
    <x v="2"/>
    <x v="0"/>
  </r>
  <r>
    <n v="100"/>
    <x v="2"/>
    <x v="2"/>
    <x v="0"/>
  </r>
  <r>
    <n v="73"/>
    <x v="2"/>
    <x v="2"/>
    <x v="0"/>
  </r>
  <r>
    <n v="149"/>
    <x v="0"/>
    <x v="2"/>
    <x v="0"/>
  </r>
  <r>
    <n v="43"/>
    <x v="1"/>
    <x v="2"/>
    <x v="0"/>
  </r>
  <r>
    <n v="227"/>
    <x v="1"/>
    <x v="2"/>
    <x v="0"/>
  </r>
  <r>
    <n v="88"/>
    <x v="2"/>
    <x v="2"/>
    <x v="0"/>
  </r>
  <r>
    <n v="88"/>
    <x v="0"/>
    <x v="2"/>
    <x v="0"/>
  </r>
  <r>
    <n v="123"/>
    <x v="1"/>
    <x v="2"/>
    <x v="0"/>
  </r>
  <r>
    <n v="255"/>
    <x v="1"/>
    <x v="2"/>
    <x v="0"/>
  </r>
  <r>
    <n v="99"/>
    <x v="1"/>
    <x v="2"/>
    <x v="0"/>
  </r>
  <r>
    <n v="63"/>
    <x v="1"/>
    <x v="2"/>
    <x v="0"/>
  </r>
  <r>
    <n v="21"/>
    <x v="0"/>
    <x v="2"/>
    <x v="0"/>
  </r>
  <r>
    <n v="266"/>
    <x v="2"/>
    <x v="2"/>
    <x v="0"/>
  </r>
  <r>
    <n v="28"/>
    <x v="0"/>
    <x v="2"/>
    <x v="0"/>
  </r>
  <r>
    <n v="283"/>
    <x v="1"/>
    <x v="2"/>
    <x v="0"/>
  </r>
  <r>
    <n v="200"/>
    <x v="0"/>
    <x v="3"/>
    <x v="1"/>
  </r>
  <r>
    <n v="112"/>
    <x v="2"/>
    <x v="2"/>
    <x v="0"/>
  </r>
  <r>
    <n v="255"/>
    <x v="0"/>
    <x v="2"/>
    <x v="0"/>
  </r>
  <r>
    <n v="230"/>
    <x v="0"/>
    <x v="2"/>
    <x v="0"/>
  </r>
  <r>
    <n v="242"/>
    <x v="2"/>
    <x v="1"/>
    <x v="0"/>
  </r>
  <r>
    <n v="197"/>
    <x v="0"/>
    <x v="2"/>
    <x v="0"/>
  </r>
  <r>
    <n v="25"/>
    <x v="1"/>
    <x v="2"/>
    <x v="0"/>
  </r>
  <r>
    <n v="180"/>
    <x v="2"/>
    <x v="2"/>
    <x v="0"/>
  </r>
  <r>
    <n v="297"/>
    <x v="1"/>
    <x v="2"/>
    <x v="0"/>
  </r>
  <r>
    <n v="137"/>
    <x v="2"/>
    <x v="2"/>
    <x v="0"/>
  </r>
  <r>
    <n v="236"/>
    <x v="0"/>
    <x v="2"/>
    <x v="0"/>
  </r>
  <r>
    <n v="150"/>
    <x v="2"/>
    <x v="2"/>
    <x v="0"/>
  </r>
  <r>
    <n v="46"/>
    <x v="0"/>
    <x v="2"/>
    <x v="0"/>
  </r>
  <r>
    <n v="163"/>
    <x v="0"/>
    <x v="2"/>
    <x v="0"/>
  </r>
  <r>
    <n v="123"/>
    <x v="0"/>
    <x v="2"/>
    <x v="0"/>
  </r>
  <r>
    <n v="36"/>
    <x v="1"/>
    <x v="0"/>
    <x v="0"/>
  </r>
  <r>
    <n v="17"/>
    <x v="0"/>
    <x v="2"/>
    <x v="0"/>
  </r>
  <r>
    <n v="173"/>
    <x v="0"/>
    <x v="2"/>
    <x v="0"/>
  </r>
  <r>
    <n v="52"/>
    <x v="2"/>
    <x v="2"/>
    <x v="0"/>
  </r>
  <r>
    <n v="12"/>
    <x v="0"/>
    <x v="2"/>
    <x v="0"/>
  </r>
  <r>
    <n v="223"/>
    <x v="2"/>
    <x v="2"/>
    <x v="0"/>
  </r>
  <r>
    <n v="212"/>
    <x v="2"/>
    <x v="2"/>
    <x v="0"/>
  </r>
  <r>
    <n v="199"/>
    <x v="1"/>
    <x v="2"/>
    <x v="0"/>
  </r>
  <r>
    <n v="32"/>
    <x v="0"/>
    <x v="2"/>
    <x v="0"/>
  </r>
  <r>
    <n v="298"/>
    <x v="1"/>
    <x v="2"/>
    <x v="0"/>
  </r>
  <r>
    <n v="182"/>
    <x v="1"/>
    <x v="2"/>
    <x v="0"/>
  </r>
  <r>
    <n v="209"/>
    <x v="1"/>
    <x v="2"/>
    <x v="0"/>
  </r>
  <r>
    <n v="167"/>
    <x v="0"/>
    <x v="2"/>
    <x v="0"/>
  </r>
  <r>
    <n v="270"/>
    <x v="2"/>
    <x v="2"/>
    <x v="0"/>
  </r>
  <r>
    <n v="40"/>
    <x v="1"/>
    <x v="2"/>
    <x v="0"/>
  </r>
  <r>
    <n v="297"/>
    <x v="0"/>
    <x v="2"/>
    <x v="0"/>
  </r>
  <r>
    <n v="10"/>
    <x v="2"/>
    <x v="2"/>
    <x v="0"/>
  </r>
  <r>
    <n v="44"/>
    <x v="0"/>
    <x v="2"/>
    <x v="0"/>
  </r>
  <r>
    <n v="242"/>
    <x v="1"/>
    <x v="0"/>
    <x v="0"/>
  </r>
  <r>
    <n v="131"/>
    <x v="1"/>
    <x v="2"/>
    <x v="0"/>
  </r>
  <r>
    <n v="219"/>
    <x v="2"/>
    <x v="2"/>
    <x v="0"/>
  </r>
  <r>
    <n v="57"/>
    <x v="0"/>
    <x v="2"/>
    <x v="0"/>
  </r>
  <r>
    <n v="117"/>
    <x v="0"/>
    <x v="2"/>
    <x v="0"/>
  </r>
  <r>
    <n v="91"/>
    <x v="2"/>
    <x v="2"/>
    <x v="0"/>
  </r>
  <r>
    <n v="185"/>
    <x v="0"/>
    <x v="2"/>
    <x v="0"/>
  </r>
  <r>
    <n v="264"/>
    <x v="2"/>
    <x v="2"/>
    <x v="0"/>
  </r>
  <r>
    <n v="157"/>
    <x v="2"/>
    <x v="2"/>
    <x v="0"/>
  </r>
  <r>
    <n v="19"/>
    <x v="2"/>
    <x v="2"/>
    <x v="0"/>
  </r>
  <r>
    <n v="233"/>
    <x v="1"/>
    <x v="2"/>
    <x v="0"/>
  </r>
  <r>
    <n v="142"/>
    <x v="0"/>
    <x v="2"/>
    <x v="0"/>
  </r>
  <r>
    <n v="158"/>
    <x v="0"/>
    <x v="2"/>
    <x v="0"/>
  </r>
  <r>
    <n v="102"/>
    <x v="0"/>
    <x v="2"/>
    <x v="0"/>
  </r>
  <r>
    <n v="170"/>
    <x v="1"/>
    <x v="2"/>
    <x v="0"/>
  </r>
  <r>
    <n v="22"/>
    <x v="2"/>
    <x v="2"/>
    <x v="0"/>
  </r>
  <r>
    <n v="57"/>
    <x v="0"/>
    <x v="2"/>
    <x v="0"/>
  </r>
  <r>
    <n v="186"/>
    <x v="0"/>
    <x v="2"/>
    <x v="0"/>
  </r>
  <r>
    <n v="25"/>
    <x v="1"/>
    <x v="2"/>
    <x v="0"/>
  </r>
  <r>
    <n v="103"/>
    <x v="1"/>
    <x v="2"/>
    <x v="0"/>
  </r>
  <r>
    <n v="272"/>
    <x v="0"/>
    <x v="2"/>
    <x v="0"/>
  </r>
  <r>
    <n v="130"/>
    <x v="2"/>
    <x v="2"/>
    <x v="0"/>
  </r>
  <r>
    <n v="277"/>
    <x v="0"/>
    <x v="2"/>
    <x v="0"/>
  </r>
  <r>
    <n v="234"/>
    <x v="0"/>
    <x v="2"/>
    <x v="0"/>
  </r>
  <r>
    <n v="147"/>
    <x v="2"/>
    <x v="2"/>
    <x v="0"/>
  </r>
  <r>
    <n v="10"/>
    <x v="2"/>
    <x v="4"/>
    <x v="0"/>
  </r>
  <r>
    <n v="240"/>
    <x v="0"/>
    <x v="2"/>
    <x v="0"/>
  </r>
  <r>
    <n v="114"/>
    <x v="0"/>
    <x v="2"/>
    <x v="0"/>
  </r>
  <r>
    <n v="117"/>
    <x v="1"/>
    <x v="2"/>
    <x v="0"/>
  </r>
  <r>
    <n v="66"/>
    <x v="2"/>
    <x v="2"/>
    <x v="0"/>
  </r>
  <r>
    <n v="142"/>
    <x v="1"/>
    <x v="2"/>
    <x v="0"/>
  </r>
  <r>
    <n v="200"/>
    <x v="2"/>
    <x v="0"/>
    <x v="0"/>
  </r>
  <r>
    <n v="143"/>
    <x v="1"/>
    <x v="2"/>
    <x v="0"/>
  </r>
  <r>
    <n v="176"/>
    <x v="2"/>
    <x v="2"/>
    <x v="0"/>
  </r>
  <r>
    <n v="76"/>
    <x v="2"/>
    <x v="2"/>
    <x v="0"/>
  </r>
  <r>
    <n v="290"/>
    <x v="1"/>
    <x v="2"/>
    <x v="0"/>
  </r>
  <r>
    <n v="122"/>
    <x v="2"/>
    <x v="2"/>
    <x v="0"/>
  </r>
  <r>
    <n v="47"/>
    <x v="2"/>
    <x v="2"/>
    <x v="0"/>
  </r>
  <r>
    <n v="212"/>
    <x v="1"/>
    <x v="2"/>
    <x v="0"/>
  </r>
  <r>
    <n v="64"/>
    <x v="0"/>
    <x v="2"/>
    <x v="0"/>
  </r>
  <r>
    <n v="143"/>
    <x v="0"/>
    <x v="2"/>
    <x v="0"/>
  </r>
  <r>
    <n v="240"/>
    <x v="0"/>
    <x v="2"/>
    <x v="0"/>
  </r>
  <r>
    <n v="187"/>
    <x v="0"/>
    <x v="2"/>
    <x v="0"/>
  </r>
  <r>
    <n v="25"/>
    <x v="1"/>
    <x v="2"/>
    <x v="0"/>
  </r>
  <r>
    <n v="17"/>
    <x v="0"/>
    <x v="2"/>
    <x v="0"/>
  </r>
  <r>
    <n v="20"/>
    <x v="1"/>
    <x v="2"/>
    <x v="0"/>
  </r>
  <r>
    <n v="245"/>
    <x v="1"/>
    <x v="2"/>
    <x v="0"/>
  </r>
  <r>
    <n v="120"/>
    <x v="0"/>
    <x v="2"/>
    <x v="0"/>
  </r>
  <r>
    <n v="132"/>
    <x v="1"/>
    <x v="2"/>
    <x v="0"/>
  </r>
  <r>
    <n v="169"/>
    <x v="1"/>
    <x v="0"/>
    <x v="0"/>
  </r>
  <r>
    <n v="230"/>
    <x v="1"/>
    <x v="2"/>
    <x v="0"/>
  </r>
  <r>
    <n v="104"/>
    <x v="0"/>
    <x v="2"/>
    <x v="0"/>
  </r>
  <r>
    <n v="150"/>
    <x v="0"/>
    <x v="2"/>
    <x v="0"/>
  </r>
  <r>
    <n v="182"/>
    <x v="2"/>
    <x v="2"/>
    <x v="0"/>
  </r>
  <r>
    <n v="83"/>
    <x v="2"/>
    <x v="2"/>
    <x v="0"/>
  </r>
  <r>
    <n v="53"/>
    <x v="1"/>
    <x v="2"/>
    <x v="0"/>
  </r>
  <r>
    <n v="38"/>
    <x v="0"/>
    <x v="2"/>
    <x v="0"/>
  </r>
  <r>
    <n v="246"/>
    <x v="2"/>
    <x v="2"/>
    <x v="0"/>
  </r>
  <r>
    <n v="229"/>
    <x v="0"/>
    <x v="2"/>
    <x v="0"/>
  </r>
  <r>
    <n v="235"/>
    <x v="2"/>
    <x v="2"/>
    <x v="0"/>
  </r>
  <r>
    <n v="154"/>
    <x v="0"/>
    <x v="2"/>
    <x v="0"/>
  </r>
  <r>
    <n v="266"/>
    <x v="1"/>
    <x v="2"/>
    <x v="0"/>
  </r>
  <r>
    <n v="52"/>
    <x v="1"/>
    <x v="2"/>
    <x v="0"/>
  </r>
  <r>
    <n v="238"/>
    <x v="1"/>
    <x v="2"/>
    <x v="0"/>
  </r>
  <r>
    <n v="292"/>
    <x v="1"/>
    <x v="2"/>
    <x v="0"/>
  </r>
  <r>
    <n v="11"/>
    <x v="1"/>
    <x v="2"/>
    <x v="0"/>
  </r>
  <r>
    <n v="239"/>
    <x v="2"/>
    <x v="2"/>
    <x v="0"/>
  </r>
  <r>
    <n v="173"/>
    <x v="1"/>
    <x v="2"/>
    <x v="0"/>
  </r>
  <r>
    <n v="208"/>
    <x v="0"/>
    <x v="2"/>
    <x v="0"/>
  </r>
  <r>
    <n v="251"/>
    <x v="2"/>
    <x v="2"/>
    <x v="0"/>
  </r>
  <r>
    <n v="71"/>
    <x v="2"/>
    <x v="2"/>
    <x v="0"/>
  </r>
  <r>
    <n v="264"/>
    <x v="2"/>
    <x v="2"/>
    <x v="0"/>
  </r>
  <r>
    <n v="300"/>
    <x v="2"/>
    <x v="2"/>
    <x v="0"/>
  </r>
  <r>
    <n v="137"/>
    <x v="0"/>
    <x v="2"/>
    <x v="0"/>
  </r>
  <r>
    <n v="192"/>
    <x v="1"/>
    <x v="2"/>
    <x v="0"/>
  </r>
  <r>
    <n v="145"/>
    <x v="0"/>
    <x v="2"/>
    <x v="0"/>
  </r>
  <r>
    <n v="51"/>
    <x v="0"/>
    <x v="2"/>
    <x v="0"/>
  </r>
  <r>
    <n v="272"/>
    <x v="2"/>
    <x v="2"/>
    <x v="0"/>
  </r>
  <r>
    <n v="223"/>
    <x v="2"/>
    <x v="2"/>
    <x v="0"/>
  </r>
  <r>
    <n v="195"/>
    <x v="2"/>
    <x v="2"/>
    <x v="0"/>
  </r>
  <r>
    <n v="282"/>
    <x v="0"/>
    <x v="3"/>
    <x v="1"/>
  </r>
  <r>
    <n v="85"/>
    <x v="2"/>
    <x v="2"/>
    <x v="0"/>
  </r>
  <r>
    <n v="19"/>
    <x v="2"/>
    <x v="2"/>
    <x v="0"/>
  </r>
  <r>
    <n v="158"/>
    <x v="1"/>
    <x v="2"/>
    <x v="0"/>
  </r>
  <r>
    <n v="277"/>
    <x v="1"/>
    <x v="2"/>
    <x v="0"/>
  </r>
  <r>
    <n v="233"/>
    <x v="1"/>
    <x v="2"/>
    <x v="0"/>
  </r>
  <r>
    <n v="49"/>
    <x v="2"/>
    <x v="2"/>
    <x v="0"/>
  </r>
  <r>
    <n v="288"/>
    <x v="2"/>
    <x v="2"/>
    <x v="0"/>
  </r>
  <r>
    <n v="286"/>
    <x v="0"/>
    <x v="2"/>
    <x v="0"/>
  </r>
  <r>
    <n v="198"/>
    <x v="0"/>
    <x v="2"/>
    <x v="0"/>
  </r>
  <r>
    <n v="171"/>
    <x v="1"/>
    <x v="4"/>
    <x v="0"/>
  </r>
  <r>
    <n v="87"/>
    <x v="2"/>
    <x v="2"/>
    <x v="0"/>
  </r>
  <r>
    <n v="129"/>
    <x v="1"/>
    <x v="4"/>
    <x v="0"/>
  </r>
  <r>
    <n v="135"/>
    <x v="1"/>
    <x v="2"/>
    <x v="0"/>
  </r>
  <r>
    <n v="49"/>
    <x v="0"/>
    <x v="0"/>
    <x v="0"/>
  </r>
  <r>
    <n v="287"/>
    <x v="0"/>
    <x v="2"/>
    <x v="0"/>
  </r>
  <r>
    <n v="21"/>
    <x v="0"/>
    <x v="2"/>
    <x v="0"/>
  </r>
  <r>
    <n v="219"/>
    <x v="1"/>
    <x v="2"/>
    <x v="0"/>
  </r>
  <r>
    <n v="248"/>
    <x v="2"/>
    <x v="2"/>
    <x v="0"/>
  </r>
  <r>
    <n v="282"/>
    <x v="0"/>
    <x v="2"/>
    <x v="0"/>
  </r>
  <r>
    <n v="89"/>
    <x v="2"/>
    <x v="2"/>
    <x v="0"/>
  </r>
  <r>
    <n v="119"/>
    <x v="2"/>
    <x v="2"/>
    <x v="0"/>
  </r>
  <r>
    <n v="56"/>
    <x v="1"/>
    <x v="2"/>
    <x v="0"/>
  </r>
  <r>
    <n v="275"/>
    <x v="1"/>
    <x v="2"/>
    <x v="0"/>
  </r>
  <r>
    <n v="270"/>
    <x v="1"/>
    <x v="2"/>
    <x v="0"/>
  </r>
  <r>
    <n v="12"/>
    <x v="2"/>
    <x v="2"/>
    <x v="0"/>
  </r>
  <r>
    <n v="23"/>
    <x v="1"/>
    <x v="2"/>
    <x v="0"/>
  </r>
  <r>
    <n v="39"/>
    <x v="0"/>
    <x v="4"/>
    <x v="0"/>
  </r>
  <r>
    <n v="252"/>
    <x v="1"/>
    <x v="2"/>
    <x v="0"/>
  </r>
  <r>
    <n v="164"/>
    <x v="1"/>
    <x v="2"/>
    <x v="0"/>
  </r>
  <r>
    <n v="118"/>
    <x v="2"/>
    <x v="2"/>
    <x v="0"/>
  </r>
  <r>
    <n v="121"/>
    <x v="1"/>
    <x v="2"/>
    <x v="0"/>
  </r>
  <r>
    <n v="217"/>
    <x v="0"/>
    <x v="2"/>
    <x v="0"/>
  </r>
  <r>
    <n v="195"/>
    <x v="2"/>
    <x v="2"/>
    <x v="0"/>
  </r>
  <r>
    <n v="118"/>
    <x v="1"/>
    <x v="2"/>
    <x v="0"/>
  </r>
  <r>
    <n v="84"/>
    <x v="2"/>
    <x v="2"/>
    <x v="0"/>
  </r>
  <r>
    <n v="251"/>
    <x v="0"/>
    <x v="2"/>
    <x v="0"/>
  </r>
  <r>
    <n v="201"/>
    <x v="2"/>
    <x v="2"/>
    <x v="0"/>
  </r>
  <r>
    <n v="249"/>
    <x v="0"/>
    <x v="2"/>
    <x v="0"/>
  </r>
  <r>
    <n v="42"/>
    <x v="1"/>
    <x v="2"/>
    <x v="0"/>
  </r>
  <r>
    <n v="241"/>
    <x v="1"/>
    <x v="2"/>
    <x v="0"/>
  </r>
  <r>
    <n v="194"/>
    <x v="0"/>
    <x v="0"/>
    <x v="2"/>
  </r>
  <r>
    <n v="76"/>
    <x v="0"/>
    <x v="2"/>
    <x v="0"/>
  </r>
  <r>
    <n v="43"/>
    <x v="0"/>
    <x v="2"/>
    <x v="0"/>
  </r>
  <r>
    <n v="102"/>
    <x v="0"/>
    <x v="2"/>
    <x v="0"/>
  </r>
  <r>
    <n v="145"/>
    <x v="2"/>
    <x v="3"/>
    <x v="1"/>
  </r>
  <r>
    <n v="122"/>
    <x v="1"/>
    <x v="2"/>
    <x v="0"/>
  </r>
  <r>
    <n v="210"/>
    <x v="2"/>
    <x v="2"/>
    <x v="0"/>
  </r>
  <r>
    <n v="32"/>
    <x v="0"/>
    <x v="2"/>
    <x v="0"/>
  </r>
  <r>
    <n v="63"/>
    <x v="0"/>
    <x v="2"/>
    <x v="0"/>
  </r>
  <r>
    <n v="177"/>
    <x v="2"/>
    <x v="2"/>
    <x v="0"/>
  </r>
  <r>
    <n v="160"/>
    <x v="0"/>
    <x v="2"/>
    <x v="0"/>
  </r>
  <r>
    <n v="208"/>
    <x v="0"/>
    <x v="5"/>
    <x v="3"/>
  </r>
  <r>
    <n v="212"/>
    <x v="2"/>
    <x v="2"/>
    <x v="0"/>
  </r>
  <r>
    <n v="254"/>
    <x v="2"/>
    <x v="2"/>
    <x v="0"/>
  </r>
  <r>
    <n v="251"/>
    <x v="0"/>
    <x v="2"/>
    <x v="0"/>
  </r>
  <r>
    <n v="189"/>
    <x v="0"/>
    <x v="2"/>
    <x v="0"/>
  </r>
  <r>
    <n v="64"/>
    <x v="0"/>
    <x v="2"/>
    <x v="0"/>
  </r>
  <r>
    <n v="205"/>
    <x v="2"/>
    <x v="2"/>
    <x v="0"/>
  </r>
  <r>
    <n v="224"/>
    <x v="0"/>
    <x v="2"/>
    <x v="0"/>
  </r>
  <r>
    <n v="226"/>
    <x v="0"/>
    <x v="2"/>
    <x v="0"/>
  </r>
  <r>
    <n v="248"/>
    <x v="2"/>
    <x v="2"/>
    <x v="0"/>
  </r>
  <r>
    <n v="25"/>
    <x v="2"/>
    <x v="5"/>
    <x v="3"/>
  </r>
  <r>
    <n v="172"/>
    <x v="2"/>
    <x v="2"/>
    <x v="0"/>
  </r>
  <r>
    <n v="93"/>
    <x v="1"/>
    <x v="2"/>
    <x v="0"/>
  </r>
  <r>
    <n v="10"/>
    <x v="1"/>
    <x v="5"/>
    <x v="3"/>
  </r>
  <r>
    <n v="170"/>
    <x v="2"/>
    <x v="2"/>
    <x v="0"/>
  </r>
  <r>
    <n v="237"/>
    <x v="1"/>
    <x v="2"/>
    <x v="0"/>
  </r>
  <r>
    <n v="20"/>
    <x v="0"/>
    <x v="2"/>
    <x v="0"/>
  </r>
  <r>
    <n v="293"/>
    <x v="1"/>
    <x v="2"/>
    <x v="0"/>
  </r>
  <r>
    <n v="41"/>
    <x v="2"/>
    <x v="2"/>
    <x v="0"/>
  </r>
  <r>
    <n v="10"/>
    <x v="1"/>
    <x v="2"/>
    <x v="0"/>
  </r>
  <r>
    <n v="62"/>
    <x v="0"/>
    <x v="2"/>
    <x v="0"/>
  </r>
  <r>
    <n v="269"/>
    <x v="2"/>
    <x v="2"/>
    <x v="0"/>
  </r>
  <r>
    <n v="45"/>
    <x v="1"/>
    <x v="2"/>
    <x v="0"/>
  </r>
  <r>
    <n v="241"/>
    <x v="1"/>
    <x v="2"/>
    <x v="0"/>
  </r>
  <r>
    <n v="195"/>
    <x v="2"/>
    <x v="2"/>
    <x v="0"/>
  </r>
  <r>
    <n v="217"/>
    <x v="1"/>
    <x v="2"/>
    <x v="0"/>
  </r>
  <r>
    <n v="296"/>
    <x v="2"/>
    <x v="2"/>
    <x v="0"/>
  </r>
  <r>
    <n v="44"/>
    <x v="1"/>
    <x v="2"/>
    <x v="0"/>
  </r>
  <r>
    <n v="58"/>
    <x v="2"/>
    <x v="2"/>
    <x v="0"/>
  </r>
  <r>
    <n v="137"/>
    <x v="1"/>
    <x v="2"/>
    <x v="0"/>
  </r>
  <r>
    <n v="238"/>
    <x v="0"/>
    <x v="2"/>
    <x v="0"/>
  </r>
  <r>
    <n v="282"/>
    <x v="2"/>
    <x v="2"/>
    <x v="0"/>
  </r>
  <r>
    <n v="279"/>
    <x v="1"/>
    <x v="2"/>
    <x v="0"/>
  </r>
  <r>
    <n v="104"/>
    <x v="2"/>
    <x v="3"/>
    <x v="1"/>
  </r>
  <r>
    <n v="135"/>
    <x v="2"/>
    <x v="2"/>
    <x v="0"/>
  </r>
  <r>
    <n v="30"/>
    <x v="0"/>
    <x v="2"/>
    <x v="0"/>
  </r>
  <r>
    <n v="157"/>
    <x v="0"/>
    <x v="2"/>
    <x v="0"/>
  </r>
  <r>
    <n v="231"/>
    <x v="1"/>
    <x v="2"/>
    <x v="0"/>
  </r>
  <r>
    <n v="174"/>
    <x v="2"/>
    <x v="2"/>
    <x v="0"/>
  </r>
  <r>
    <n v="228"/>
    <x v="0"/>
    <x v="2"/>
    <x v="0"/>
  </r>
  <r>
    <n v="82"/>
    <x v="2"/>
    <x v="2"/>
    <x v="0"/>
  </r>
  <r>
    <n v="262"/>
    <x v="0"/>
    <x v="2"/>
    <x v="0"/>
  </r>
  <r>
    <n v="129"/>
    <x v="0"/>
    <x v="2"/>
    <x v="0"/>
  </r>
  <r>
    <n v="191"/>
    <x v="2"/>
    <x v="2"/>
    <x v="0"/>
  </r>
  <r>
    <n v="35"/>
    <x v="2"/>
    <x v="2"/>
    <x v="0"/>
  </r>
  <r>
    <n v="238"/>
    <x v="1"/>
    <x v="0"/>
    <x v="0"/>
  </r>
  <r>
    <n v="277"/>
    <x v="2"/>
    <x v="2"/>
    <x v="0"/>
  </r>
  <r>
    <n v="89"/>
    <x v="2"/>
    <x v="2"/>
    <x v="0"/>
  </r>
  <r>
    <n v="235"/>
    <x v="0"/>
    <x v="3"/>
    <x v="1"/>
  </r>
  <r>
    <n v="210"/>
    <x v="1"/>
    <x v="4"/>
    <x v="0"/>
  </r>
  <r>
    <n v="24"/>
    <x v="2"/>
    <x v="2"/>
    <x v="0"/>
  </r>
  <r>
    <n v="14"/>
    <x v="1"/>
    <x v="2"/>
    <x v="0"/>
  </r>
  <r>
    <n v="70"/>
    <x v="0"/>
    <x v="2"/>
    <x v="0"/>
  </r>
  <r>
    <n v="191"/>
    <x v="1"/>
    <x v="5"/>
    <x v="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</r>
  <r>
    <x v="1"/>
    <x v="1"/>
  </r>
  <r>
    <x v="2"/>
    <x v="2"/>
  </r>
  <r>
    <x v="3"/>
    <x v="3"/>
  </r>
  <r>
    <x v="0"/>
    <x v="4"/>
  </r>
  <r>
    <x v="1"/>
    <x v="5"/>
  </r>
  <r>
    <x v="2"/>
    <x v="6"/>
  </r>
  <r>
    <x v="3"/>
    <x v="7"/>
  </r>
  <r>
    <x v="0"/>
    <x v="8"/>
  </r>
  <r>
    <x v="1"/>
    <x v="9"/>
  </r>
  <r>
    <x v="2"/>
    <x v="10"/>
  </r>
  <r>
    <x v="3"/>
    <x v="11"/>
  </r>
  <r>
    <x v="0"/>
    <x v="12"/>
  </r>
  <r>
    <x v="1"/>
    <x v="13"/>
  </r>
  <r>
    <x v="2"/>
    <x v="14"/>
  </r>
  <r>
    <x v="3"/>
    <x v="15"/>
  </r>
  <r>
    <x v="0"/>
    <x v="16"/>
  </r>
  <r>
    <x v="1"/>
    <x v="17"/>
  </r>
  <r>
    <x v="2"/>
    <x v="18"/>
  </r>
  <r>
    <x v="3"/>
    <x v="19"/>
  </r>
  <r>
    <x v="0"/>
    <x v="20"/>
  </r>
  <r>
    <x v="1"/>
    <x v="21"/>
  </r>
  <r>
    <x v="2"/>
    <x v="22"/>
  </r>
  <r>
    <x v="3"/>
    <x v="23"/>
  </r>
  <r>
    <x v="0"/>
    <x v="24"/>
  </r>
  <r>
    <x v="1"/>
    <x v="25"/>
  </r>
  <r>
    <x v="2"/>
    <x v="26"/>
  </r>
  <r>
    <x v="3"/>
    <x v="27"/>
  </r>
  <r>
    <x v="0"/>
    <x v="28"/>
  </r>
  <r>
    <x v="1"/>
    <x v="29"/>
  </r>
  <r>
    <x v="2"/>
    <x v="30"/>
  </r>
  <r>
    <x v="3"/>
    <x v="31"/>
  </r>
  <r>
    <x v="0"/>
    <x v="32"/>
  </r>
  <r>
    <x v="1"/>
    <x v="33"/>
  </r>
  <r>
    <x v="2"/>
    <x v="34"/>
  </r>
  <r>
    <x v="3"/>
    <x v="35"/>
  </r>
  <r>
    <x v="0"/>
    <x v="36"/>
  </r>
  <r>
    <x v="1"/>
    <x v="37"/>
  </r>
  <r>
    <x v="2"/>
    <x v="38"/>
  </r>
  <r>
    <x v="3"/>
    <x v="39"/>
  </r>
  <r>
    <x v="0"/>
    <x v="40"/>
  </r>
  <r>
    <x v="1"/>
    <x v="41"/>
  </r>
  <r>
    <x v="2"/>
    <x v="42"/>
  </r>
  <r>
    <x v="3"/>
    <x v="43"/>
  </r>
  <r>
    <x v="0"/>
    <x v="44"/>
  </r>
  <r>
    <x v="1"/>
    <x v="45"/>
  </r>
  <r>
    <x v="2"/>
    <x v="46"/>
  </r>
  <r>
    <x v="3"/>
    <x v="18"/>
  </r>
  <r>
    <x v="0"/>
    <x v="47"/>
  </r>
  <r>
    <x v="1"/>
    <x v="48"/>
  </r>
  <r>
    <x v="2"/>
    <x v="49"/>
  </r>
  <r>
    <x v="3"/>
    <x v="36"/>
  </r>
  <r>
    <x v="0"/>
    <x v="50"/>
  </r>
  <r>
    <x v="1"/>
    <x v="51"/>
  </r>
  <r>
    <x v="2"/>
    <x v="52"/>
  </r>
  <r>
    <x v="3"/>
    <x v="53"/>
  </r>
  <r>
    <x v="0"/>
    <x v="54"/>
  </r>
  <r>
    <x v="1"/>
    <x v="55"/>
  </r>
  <r>
    <x v="2"/>
    <x v="56"/>
  </r>
  <r>
    <x v="3"/>
    <x v="57"/>
  </r>
  <r>
    <x v="0"/>
    <x v="58"/>
  </r>
  <r>
    <x v="1"/>
    <x v="59"/>
  </r>
  <r>
    <x v="2"/>
    <x v="60"/>
  </r>
  <r>
    <x v="3"/>
    <x v="14"/>
  </r>
  <r>
    <x v="0"/>
    <x v="61"/>
  </r>
  <r>
    <x v="1"/>
    <x v="62"/>
  </r>
  <r>
    <x v="2"/>
    <x v="42"/>
  </r>
  <r>
    <x v="3"/>
    <x v="63"/>
  </r>
  <r>
    <x v="0"/>
    <x v="64"/>
  </r>
  <r>
    <x v="1"/>
    <x v="65"/>
  </r>
  <r>
    <x v="2"/>
    <x v="66"/>
  </r>
  <r>
    <x v="3"/>
    <x v="62"/>
  </r>
  <r>
    <x v="0"/>
    <x v="67"/>
  </r>
  <r>
    <x v="1"/>
    <x v="68"/>
  </r>
  <r>
    <x v="2"/>
    <x v="69"/>
  </r>
  <r>
    <x v="3"/>
    <x v="70"/>
  </r>
  <r>
    <x v="0"/>
    <x v="71"/>
  </r>
  <r>
    <x v="1"/>
    <x v="72"/>
  </r>
  <r>
    <x v="2"/>
    <x v="73"/>
  </r>
  <r>
    <x v="3"/>
    <x v="74"/>
  </r>
  <r>
    <x v="0"/>
    <x v="75"/>
  </r>
  <r>
    <x v="1"/>
    <x v="7"/>
  </r>
  <r>
    <x v="2"/>
    <x v="76"/>
  </r>
  <r>
    <x v="3"/>
    <x v="77"/>
  </r>
  <r>
    <x v="0"/>
    <x v="78"/>
  </r>
  <r>
    <x v="1"/>
    <x v="79"/>
  </r>
  <r>
    <x v="2"/>
    <x v="80"/>
  </r>
  <r>
    <x v="3"/>
    <x v="81"/>
  </r>
  <r>
    <x v="0"/>
    <x v="82"/>
  </r>
  <r>
    <x v="1"/>
    <x v="83"/>
  </r>
  <r>
    <x v="2"/>
    <x v="84"/>
  </r>
  <r>
    <x v="3"/>
    <x v="85"/>
  </r>
  <r>
    <x v="0"/>
    <x v="22"/>
  </r>
  <r>
    <x v="1"/>
    <x v="86"/>
  </r>
  <r>
    <x v="2"/>
    <x v="8"/>
  </r>
  <r>
    <x v="3"/>
    <x v="87"/>
  </r>
  <r>
    <x v="0"/>
    <x v="88"/>
  </r>
  <r>
    <x v="1"/>
    <x v="89"/>
  </r>
  <r>
    <x v="2"/>
    <x v="90"/>
  </r>
  <r>
    <x v="3"/>
    <x v="91"/>
  </r>
  <r>
    <x v="0"/>
    <x v="92"/>
  </r>
  <r>
    <x v="1"/>
    <x v="93"/>
  </r>
  <r>
    <x v="2"/>
    <x v="94"/>
  </r>
  <r>
    <x v="3"/>
    <x v="71"/>
  </r>
  <r>
    <x v="0"/>
    <x v="95"/>
  </r>
  <r>
    <x v="1"/>
    <x v="96"/>
  </r>
  <r>
    <x v="2"/>
    <x v="97"/>
  </r>
  <r>
    <x v="3"/>
    <x v="98"/>
  </r>
  <r>
    <x v="0"/>
    <x v="99"/>
  </r>
  <r>
    <x v="1"/>
    <x v="100"/>
  </r>
  <r>
    <x v="2"/>
    <x v="101"/>
  </r>
  <r>
    <x v="3"/>
    <x v="102"/>
  </r>
  <r>
    <x v="0"/>
    <x v="83"/>
  </r>
  <r>
    <x v="1"/>
    <x v="9"/>
  </r>
  <r>
    <x v="2"/>
    <x v="103"/>
  </r>
  <r>
    <x v="3"/>
    <x v="104"/>
  </r>
  <r>
    <x v="0"/>
    <x v="105"/>
  </r>
  <r>
    <x v="1"/>
    <x v="106"/>
  </r>
  <r>
    <x v="2"/>
    <x v="107"/>
  </r>
  <r>
    <x v="3"/>
    <x v="108"/>
  </r>
  <r>
    <x v="0"/>
    <x v="55"/>
  </r>
  <r>
    <x v="1"/>
    <x v="109"/>
  </r>
  <r>
    <x v="2"/>
    <x v="91"/>
  </r>
  <r>
    <x v="3"/>
    <x v="17"/>
  </r>
  <r>
    <x v="0"/>
    <x v="110"/>
  </r>
  <r>
    <x v="1"/>
    <x v="111"/>
  </r>
  <r>
    <x v="2"/>
    <x v="112"/>
  </r>
  <r>
    <x v="3"/>
    <x v="113"/>
  </r>
  <r>
    <x v="0"/>
    <x v="64"/>
  </r>
  <r>
    <x v="1"/>
    <x v="114"/>
  </r>
  <r>
    <x v="2"/>
    <x v="115"/>
  </r>
  <r>
    <x v="3"/>
    <x v="116"/>
  </r>
  <r>
    <x v="0"/>
    <x v="56"/>
  </r>
  <r>
    <x v="1"/>
    <x v="117"/>
  </r>
  <r>
    <x v="2"/>
    <x v="118"/>
  </r>
  <r>
    <x v="3"/>
    <x v="91"/>
  </r>
  <r>
    <x v="0"/>
    <x v="119"/>
  </r>
  <r>
    <x v="1"/>
    <x v="97"/>
  </r>
  <r>
    <x v="2"/>
    <x v="120"/>
  </r>
  <r>
    <x v="3"/>
    <x v="121"/>
  </r>
  <r>
    <x v="0"/>
    <x v="122"/>
  </r>
  <r>
    <x v="1"/>
    <x v="86"/>
  </r>
  <r>
    <x v="2"/>
    <x v="123"/>
  </r>
  <r>
    <x v="3"/>
    <x v="124"/>
  </r>
  <r>
    <x v="0"/>
    <x v="125"/>
  </r>
  <r>
    <x v="1"/>
    <x v="126"/>
  </r>
  <r>
    <x v="2"/>
    <x v="127"/>
  </r>
  <r>
    <x v="3"/>
    <x v="128"/>
  </r>
  <r>
    <x v="0"/>
    <x v="129"/>
  </r>
  <r>
    <x v="1"/>
    <x v="130"/>
  </r>
  <r>
    <x v="2"/>
    <x v="131"/>
  </r>
  <r>
    <x v="3"/>
    <x v="132"/>
  </r>
  <r>
    <x v="0"/>
    <x v="133"/>
  </r>
  <r>
    <x v="1"/>
    <x v="134"/>
  </r>
  <r>
    <x v="2"/>
    <x v="130"/>
  </r>
  <r>
    <x v="3"/>
    <x v="135"/>
  </r>
  <r>
    <x v="0"/>
    <x v="136"/>
  </r>
  <r>
    <x v="1"/>
    <x v="137"/>
  </r>
  <r>
    <x v="2"/>
    <x v="113"/>
  </r>
  <r>
    <x v="3"/>
    <x v="138"/>
  </r>
  <r>
    <x v="0"/>
    <x v="139"/>
  </r>
  <r>
    <x v="1"/>
    <x v="140"/>
  </r>
  <r>
    <x v="2"/>
    <x v="141"/>
  </r>
  <r>
    <x v="3"/>
    <x v="37"/>
  </r>
  <r>
    <x v="0"/>
    <x v="107"/>
  </r>
  <r>
    <x v="1"/>
    <x v="142"/>
  </r>
  <r>
    <x v="2"/>
    <x v="143"/>
  </r>
  <r>
    <x v="3"/>
    <x v="144"/>
  </r>
  <r>
    <x v="0"/>
    <x v="74"/>
  </r>
  <r>
    <x v="1"/>
    <x v="145"/>
  </r>
  <r>
    <x v="2"/>
    <x v="146"/>
  </r>
  <r>
    <x v="3"/>
    <x v="147"/>
  </r>
  <r>
    <x v="0"/>
    <x v="148"/>
  </r>
  <r>
    <x v="1"/>
    <x v="149"/>
  </r>
  <r>
    <x v="2"/>
    <x v="150"/>
  </r>
  <r>
    <x v="3"/>
    <x v="151"/>
  </r>
  <r>
    <x v="0"/>
    <x v="152"/>
  </r>
  <r>
    <x v="1"/>
    <x v="153"/>
  </r>
  <r>
    <x v="2"/>
    <x v="154"/>
  </r>
  <r>
    <x v="3"/>
    <x v="155"/>
  </r>
  <r>
    <x v="0"/>
    <x v="156"/>
  </r>
  <r>
    <x v="1"/>
    <x v="157"/>
  </r>
  <r>
    <x v="2"/>
    <x v="110"/>
  </r>
  <r>
    <x v="3"/>
    <x v="158"/>
  </r>
  <r>
    <x v="0"/>
    <x v="159"/>
  </r>
  <r>
    <x v="1"/>
    <x v="160"/>
  </r>
  <r>
    <x v="2"/>
    <x v="161"/>
  </r>
  <r>
    <x v="3"/>
    <x v="109"/>
  </r>
  <r>
    <x v="0"/>
    <x v="162"/>
  </r>
  <r>
    <x v="1"/>
    <x v="53"/>
  </r>
  <r>
    <x v="2"/>
    <x v="7"/>
  </r>
  <r>
    <x v="3"/>
    <x v="163"/>
  </r>
  <r>
    <x v="0"/>
    <x v="164"/>
  </r>
  <r>
    <x v="1"/>
    <x v="165"/>
  </r>
  <r>
    <x v="2"/>
    <x v="166"/>
  </r>
  <r>
    <x v="3"/>
    <x v="167"/>
  </r>
  <r>
    <x v="0"/>
    <x v="168"/>
  </r>
  <r>
    <x v="1"/>
    <x v="169"/>
  </r>
  <r>
    <x v="2"/>
    <x v="170"/>
  </r>
  <r>
    <x v="3"/>
    <x v="17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n v="5904"/>
  </r>
  <r>
    <x v="1"/>
    <n v="9566"/>
  </r>
  <r>
    <x v="2"/>
    <n v="26752"/>
  </r>
  <r>
    <x v="3"/>
    <n v="30671"/>
  </r>
  <r>
    <x v="0"/>
    <n v="9920"/>
  </r>
  <r>
    <x v="1"/>
    <n v="7924"/>
  </r>
  <r>
    <x v="2"/>
    <n v="8912"/>
  </r>
  <r>
    <x v="3"/>
    <n v="21205"/>
  </r>
  <r>
    <x v="0"/>
    <n v="11329"/>
  </r>
  <r>
    <x v="1"/>
    <n v="46670"/>
  </r>
  <r>
    <x v="2"/>
    <n v="22482"/>
  </r>
  <r>
    <x v="3"/>
    <n v="24313"/>
  </r>
  <r>
    <x v="0"/>
    <n v="18050"/>
  </r>
  <r>
    <x v="1"/>
    <n v="30635"/>
  </r>
  <r>
    <x v="2"/>
    <n v="31280"/>
  </r>
  <r>
    <x v="3"/>
    <n v="1783"/>
  </r>
  <r>
    <x v="0"/>
    <n v="9566"/>
  </r>
  <r>
    <x v="1"/>
    <n v="42307"/>
  </r>
  <r>
    <x v="2"/>
    <n v="5914"/>
  </r>
  <r>
    <x v="3"/>
    <n v="30060"/>
  </r>
  <r>
    <x v="0"/>
    <n v="22728"/>
  </r>
  <r>
    <x v="1"/>
    <n v="38610"/>
  </r>
  <r>
    <x v="2"/>
    <n v="2932"/>
  </r>
  <r>
    <x v="3"/>
    <n v="15071"/>
  </r>
  <r>
    <x v="0"/>
    <n v="10740"/>
  </r>
  <r>
    <x v="1"/>
    <n v="43420"/>
  </r>
  <r>
    <x v="2"/>
    <n v="32393"/>
  </r>
  <r>
    <x v="3"/>
    <n v="28474"/>
  </r>
  <r>
    <x v="0"/>
    <n v="17328"/>
  </r>
  <r>
    <x v="1"/>
    <n v="26067"/>
  </r>
  <r>
    <x v="2"/>
    <n v="32763"/>
  </r>
  <r>
    <x v="3"/>
    <n v="26452"/>
  </r>
  <r>
    <x v="0"/>
    <n v="15353"/>
  </r>
  <r>
    <x v="1"/>
    <n v="4839"/>
  </r>
  <r>
    <x v="2"/>
    <n v="39272"/>
  </r>
  <r>
    <x v="3"/>
    <n v="16804"/>
  </r>
  <r>
    <x v="0"/>
    <n v="49303"/>
  </r>
  <r>
    <x v="1"/>
    <n v="26455"/>
  </r>
  <r>
    <x v="2"/>
    <n v="12384"/>
  </r>
  <r>
    <x v="3"/>
    <n v="49372"/>
  </r>
  <r>
    <x v="0"/>
    <n v="47101"/>
  </r>
  <r>
    <x v="1"/>
    <n v="37903"/>
  </r>
  <r>
    <x v="2"/>
    <n v="33258"/>
  </r>
  <r>
    <x v="3"/>
    <n v="6915"/>
  </r>
  <r>
    <x v="0"/>
    <n v="35501"/>
  </r>
  <r>
    <x v="1"/>
    <n v="14203"/>
  </r>
  <r>
    <x v="2"/>
    <n v="22206"/>
  </r>
  <r>
    <x v="3"/>
    <n v="10283"/>
  </r>
  <r>
    <x v="0"/>
    <n v="24913"/>
  </r>
  <r>
    <x v="1"/>
    <n v="26925"/>
  </r>
  <r>
    <x v="2"/>
    <n v="9942"/>
  </r>
  <r>
    <x v="3"/>
    <n v="32929"/>
  </r>
  <r>
    <x v="0"/>
    <n v="37829"/>
  </r>
  <r>
    <x v="1"/>
    <n v="24384"/>
  </r>
  <r>
    <x v="2"/>
    <n v="25797"/>
  </r>
  <r>
    <x v="3"/>
    <n v="12646"/>
  </r>
  <r>
    <x v="0"/>
    <n v="26663"/>
  </r>
  <r>
    <x v="1"/>
    <n v="40478"/>
  </r>
  <r>
    <x v="2"/>
    <n v="15476"/>
  </r>
  <r>
    <x v="3"/>
    <n v="10217"/>
  </r>
  <r>
    <x v="0"/>
    <n v="21939"/>
  </r>
  <r>
    <x v="1"/>
    <n v="47462"/>
  </r>
  <r>
    <x v="2"/>
    <n v="30270"/>
  </r>
  <r>
    <x v="3"/>
    <n v="5442"/>
  </r>
  <r>
    <x v="0"/>
    <n v="1083"/>
  </r>
  <r>
    <x v="1"/>
    <n v="11901"/>
  </r>
  <r>
    <x v="2"/>
    <n v="24018"/>
  </r>
  <r>
    <x v="3"/>
    <n v="38883"/>
  </r>
  <r>
    <x v="0"/>
    <n v="30575"/>
  </r>
  <r>
    <x v="1"/>
    <n v="2315"/>
  </r>
  <r>
    <x v="2"/>
    <n v="12148"/>
  </r>
  <r>
    <x v="3"/>
    <n v="36851"/>
  </r>
  <r>
    <x v="0"/>
    <n v="41215"/>
  </r>
  <r>
    <x v="1"/>
    <n v="43836"/>
  </r>
  <r>
    <x v="2"/>
    <n v="4509"/>
  </r>
  <r>
    <x v="3"/>
    <n v="27822"/>
  </r>
  <r>
    <x v="0"/>
    <n v="36397"/>
  </r>
  <r>
    <x v="1"/>
    <n v="7285"/>
  </r>
  <r>
    <x v="2"/>
    <n v="33174"/>
  </r>
  <r>
    <x v="3"/>
    <n v="6742"/>
  </r>
  <r>
    <x v="0"/>
    <n v="32478"/>
  </r>
  <r>
    <x v="1"/>
    <n v="42824"/>
  </r>
  <r>
    <x v="2"/>
    <n v="21208"/>
  </r>
  <r>
    <x v="3"/>
    <n v="44321"/>
  </r>
  <r>
    <x v="0"/>
    <n v="13116"/>
  </r>
  <r>
    <x v="1"/>
    <n v="30214"/>
  </r>
  <r>
    <x v="2"/>
    <n v="15827"/>
  </r>
  <r>
    <x v="3"/>
    <n v="46643"/>
  </r>
  <r>
    <x v="0"/>
    <n v="36484"/>
  </r>
  <r>
    <x v="1"/>
    <n v="4996"/>
  </r>
  <r>
    <x v="2"/>
    <n v="36095"/>
  </r>
  <r>
    <x v="3"/>
    <n v="16443"/>
  </r>
  <r>
    <x v="0"/>
    <n v="47812"/>
  </r>
  <r>
    <x v="1"/>
    <n v="38452"/>
  </r>
  <r>
    <x v="2"/>
    <n v="30428"/>
  </r>
  <r>
    <x v="3"/>
    <n v="9269"/>
  </r>
  <r>
    <x v="0"/>
    <n v="29533"/>
  </r>
  <r>
    <x v="1"/>
    <n v="39997"/>
  </r>
  <r>
    <x v="2"/>
    <n v="5391"/>
  </r>
  <r>
    <x v="3"/>
    <n v="22373"/>
  </r>
  <r>
    <x v="0"/>
    <n v="1810"/>
  </r>
  <r>
    <x v="1"/>
    <n v="28498"/>
  </r>
  <r>
    <x v="2"/>
    <n v="39530"/>
  </r>
  <r>
    <x v="3"/>
    <n v="37876"/>
  </r>
  <r>
    <x v="0"/>
    <n v="36103"/>
  </r>
  <r>
    <x v="1"/>
    <n v="26103"/>
  </r>
  <r>
    <x v="2"/>
    <n v="3455"/>
  </r>
  <r>
    <x v="3"/>
    <n v="40888"/>
  </r>
  <r>
    <x v="0"/>
    <n v="22724"/>
  </r>
  <r>
    <x v="1"/>
    <n v="18601"/>
  </r>
  <r>
    <x v="2"/>
    <n v="20861"/>
  </r>
  <r>
    <x v="3"/>
    <n v="46625"/>
  </r>
  <r>
    <x v="0"/>
    <n v="20692"/>
  </r>
  <r>
    <x v="1"/>
    <n v="18656"/>
  </r>
  <r>
    <x v="2"/>
    <n v="13316"/>
  </r>
  <r>
    <x v="3"/>
    <n v="49558"/>
  </r>
  <r>
    <x v="0"/>
    <n v="4683"/>
  </r>
  <r>
    <x v="1"/>
    <n v="47502"/>
  </r>
  <r>
    <x v="2"/>
    <n v="35359"/>
  </r>
  <r>
    <x v="3"/>
    <n v="14154"/>
  </r>
  <r>
    <x v="0"/>
    <n v="4313"/>
  </r>
  <r>
    <x v="1"/>
    <n v="25140"/>
  </r>
  <r>
    <x v="2"/>
    <n v="9118"/>
  </r>
  <r>
    <x v="3"/>
    <n v="39931"/>
  </r>
  <r>
    <x v="0"/>
    <n v="37132"/>
  </r>
  <r>
    <x v="1"/>
    <n v="17951"/>
  </r>
  <r>
    <x v="2"/>
    <n v="2798"/>
  </r>
  <r>
    <x v="3"/>
    <n v="15045"/>
  </r>
  <r>
    <x v="0"/>
    <n v="14548"/>
  </r>
  <r>
    <x v="1"/>
    <n v="45708"/>
  </r>
  <r>
    <x v="2"/>
    <n v="12350"/>
  </r>
  <r>
    <x v="3"/>
    <n v="40868"/>
  </r>
  <r>
    <x v="0"/>
    <n v="43122"/>
  </r>
  <r>
    <x v="1"/>
    <n v="23853"/>
  </r>
  <r>
    <x v="2"/>
    <n v="45380"/>
  </r>
  <r>
    <x v="3"/>
    <n v="7705"/>
  </r>
  <r>
    <x v="0"/>
    <n v="25525"/>
  </r>
  <r>
    <x v="1"/>
    <n v="20560"/>
  </r>
  <r>
    <x v="2"/>
    <n v="19119"/>
  </r>
  <r>
    <x v="3"/>
    <n v="43999"/>
  </r>
  <r>
    <x v="0"/>
    <n v="10825"/>
  </r>
  <r>
    <x v="1"/>
    <n v="40323"/>
  </r>
  <r>
    <x v="2"/>
    <n v="48270"/>
  </r>
  <r>
    <x v="3"/>
    <n v="18001"/>
  </r>
  <r>
    <x v="0"/>
    <n v="3314"/>
  </r>
  <r>
    <x v="1"/>
    <n v="23489"/>
  </r>
  <r>
    <x v="2"/>
    <n v="42832"/>
  </r>
  <r>
    <x v="3"/>
    <n v="24494"/>
  </r>
  <r>
    <x v="0"/>
    <n v="44097"/>
  </r>
  <r>
    <x v="1"/>
    <n v="31853"/>
  </r>
  <r>
    <x v="2"/>
    <n v="37636"/>
  </r>
  <r>
    <x v="3"/>
    <n v="22996"/>
  </r>
  <r>
    <x v="0"/>
    <n v="49772"/>
  </r>
  <r>
    <x v="1"/>
    <n v="22713"/>
  </r>
  <r>
    <x v="2"/>
    <n v="8718"/>
  </r>
  <r>
    <x v="3"/>
    <n v="39031"/>
  </r>
  <r>
    <x v="0"/>
    <n v="33799"/>
  </r>
  <r>
    <x v="1"/>
    <n v="20553"/>
  </r>
  <r>
    <x v="2"/>
    <n v="10002"/>
  </r>
  <r>
    <x v="3"/>
    <n v="30987"/>
  </r>
  <r>
    <x v="0"/>
    <n v="6296"/>
  </r>
  <r>
    <x v="1"/>
    <n v="21539"/>
  </r>
  <r>
    <x v="2"/>
    <n v="14722"/>
  </r>
  <r>
    <x v="3"/>
    <n v="11383"/>
  </r>
  <r>
    <x v="0"/>
    <n v="9480"/>
  </r>
  <r>
    <x v="1"/>
    <n v="29116"/>
  </r>
  <r>
    <x v="2"/>
    <n v="14068"/>
  </r>
  <r>
    <x v="3"/>
    <n v="35801"/>
  </r>
  <r>
    <x v="0"/>
    <n v="49077"/>
  </r>
  <r>
    <x v="1"/>
    <n v="21453"/>
  </r>
  <r>
    <x v="2"/>
    <n v="21061"/>
  </r>
  <r>
    <x v="3"/>
    <n v="20059"/>
  </r>
  <r>
    <x v="0"/>
    <n v="23140"/>
  </r>
  <r>
    <x v="1"/>
    <n v="23461"/>
  </r>
  <r>
    <x v="2"/>
    <n v="11805"/>
  </r>
  <r>
    <x v="3"/>
    <n v="15969"/>
  </r>
  <r>
    <x v="0"/>
    <n v="2436"/>
  </r>
  <r>
    <x v="1"/>
    <n v="47603"/>
  </r>
  <r>
    <x v="2"/>
    <n v="42964"/>
  </r>
  <r>
    <x v="3"/>
    <n v="39923"/>
  </r>
  <r>
    <x v="0"/>
    <n v="2293"/>
  </r>
  <r>
    <x v="1"/>
    <n v="25920"/>
  </r>
  <r>
    <x v="2"/>
    <n v="11035"/>
  </r>
  <r>
    <x v="3"/>
    <n v="20733"/>
  </r>
  <r>
    <x v="0"/>
    <n v="18693"/>
  </r>
  <r>
    <x v="1"/>
    <n v="7875"/>
  </r>
  <r>
    <x v="2"/>
    <n v="8471"/>
  </r>
  <r>
    <x v="3"/>
    <n v="14090"/>
  </r>
  <r>
    <x v="0"/>
    <n v="14216"/>
  </r>
  <r>
    <x v="1"/>
    <n v="3582"/>
  </r>
  <r>
    <x v="2"/>
    <n v="32500"/>
  </r>
  <r>
    <x v="3"/>
    <n v="6832"/>
  </r>
  <r>
    <x v="0"/>
    <n v="33381"/>
  </r>
  <r>
    <x v="1"/>
    <n v="48419"/>
  </r>
  <r>
    <x v="2"/>
    <n v="16149"/>
  </r>
  <r>
    <x v="3"/>
    <n v="7541"/>
  </r>
  <r>
    <x v="0"/>
    <n v="20042"/>
  </r>
  <r>
    <x v="1"/>
    <n v="49400"/>
  </r>
  <r>
    <x v="2"/>
    <n v="4007"/>
  </r>
  <r>
    <x v="3"/>
    <n v="12174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x v="0"/>
    <x v="0"/>
    <x v="0"/>
    <n v="1461"/>
    <n v="184"/>
    <n v="344"/>
  </r>
  <r>
    <x v="1"/>
    <x v="1"/>
    <x v="0"/>
    <n v="4054"/>
    <n v="389"/>
    <n v="493"/>
  </r>
  <r>
    <x v="1"/>
    <x v="2"/>
    <x v="0"/>
    <n v="2795"/>
    <n v="105"/>
    <n v="49"/>
  </r>
  <r>
    <x v="2"/>
    <x v="2"/>
    <x v="0"/>
    <n v="2404"/>
    <n v="363"/>
    <n v="138"/>
  </r>
  <r>
    <x v="2"/>
    <x v="3"/>
    <x v="0"/>
    <n v="3557"/>
    <n v="687"/>
    <n v="424"/>
  </r>
  <r>
    <x v="1"/>
    <x v="2"/>
    <x v="0"/>
    <n v="2945"/>
    <n v="930"/>
    <n v="355"/>
  </r>
  <r>
    <x v="1"/>
    <x v="2"/>
    <x v="0"/>
    <n v="3860"/>
    <n v="201"/>
    <n v="279"/>
  </r>
  <r>
    <x v="2"/>
    <x v="2"/>
    <x v="0"/>
    <n v="3929"/>
    <n v="262"/>
    <n v="278"/>
  </r>
  <r>
    <x v="1"/>
    <x v="2"/>
    <x v="0"/>
    <n v="3784"/>
    <n v="808"/>
    <n v="404"/>
  </r>
  <r>
    <x v="1"/>
    <x v="2"/>
    <x v="0"/>
    <n v="4241"/>
    <n v="902"/>
    <n v="47"/>
  </r>
  <r>
    <x v="0"/>
    <x v="2"/>
    <x v="0"/>
    <n v="1792"/>
    <n v="614"/>
    <n v="497"/>
  </r>
  <r>
    <x v="0"/>
    <x v="2"/>
    <x v="0"/>
    <n v="1946"/>
    <n v="686"/>
    <n v="377"/>
  </r>
  <r>
    <x v="2"/>
    <x v="2"/>
    <x v="0"/>
    <n v="1171"/>
    <n v="286"/>
    <n v="231"/>
  </r>
  <r>
    <x v="0"/>
    <x v="2"/>
    <x v="0"/>
    <n v="4242"/>
    <n v="555"/>
    <n v="131"/>
  </r>
  <r>
    <x v="0"/>
    <x v="2"/>
    <x v="0"/>
    <n v="3888"/>
    <n v="604"/>
    <n v="128"/>
  </r>
  <r>
    <x v="0"/>
    <x v="2"/>
    <x v="0"/>
    <n v="3452"/>
    <n v="377"/>
    <n v="360"/>
  </r>
  <r>
    <x v="2"/>
    <x v="2"/>
    <x v="0"/>
    <n v="4441"/>
    <n v="511"/>
    <n v="70"/>
  </r>
  <r>
    <x v="0"/>
    <x v="2"/>
    <x v="0"/>
    <n v="3000"/>
    <n v="382"/>
    <n v="325"/>
  </r>
  <r>
    <x v="1"/>
    <x v="2"/>
    <x v="0"/>
    <n v="1071"/>
    <n v="519"/>
    <n v="22"/>
  </r>
  <r>
    <x v="1"/>
    <x v="2"/>
    <x v="0"/>
    <n v="4054"/>
    <n v="488"/>
    <n v="373"/>
  </r>
  <r>
    <x v="0"/>
    <x v="2"/>
    <x v="0"/>
    <n v="4838"/>
    <n v="640"/>
    <n v="128"/>
  </r>
  <r>
    <x v="1"/>
    <x v="2"/>
    <x v="0"/>
    <n v="1570"/>
    <n v="187"/>
    <n v="260"/>
  </r>
  <r>
    <x v="1"/>
    <x v="0"/>
    <x v="0"/>
    <n v="1606"/>
    <n v="547"/>
    <n v="316"/>
  </r>
  <r>
    <x v="0"/>
    <x v="2"/>
    <x v="0"/>
    <n v="3961"/>
    <n v="761"/>
    <n v="131"/>
  </r>
  <r>
    <x v="2"/>
    <x v="2"/>
    <x v="0"/>
    <n v="3128"/>
    <n v="211"/>
    <n v="197"/>
  </r>
  <r>
    <x v="0"/>
    <x v="2"/>
    <x v="0"/>
    <n v="3009"/>
    <n v="413"/>
    <n v="358"/>
  </r>
  <r>
    <x v="0"/>
    <x v="2"/>
    <x v="0"/>
    <n v="2076"/>
    <n v="195"/>
    <n v="104"/>
  </r>
  <r>
    <x v="0"/>
    <x v="2"/>
    <x v="0"/>
    <n v="432"/>
    <n v="624"/>
    <n v="123"/>
  </r>
  <r>
    <x v="0"/>
    <x v="2"/>
    <x v="0"/>
    <n v="2566"/>
    <n v="118"/>
    <n v="37"/>
  </r>
  <r>
    <x v="2"/>
    <x v="2"/>
    <x v="0"/>
    <n v="3095"/>
    <n v="39"/>
    <n v="78"/>
  </r>
  <r>
    <x v="1"/>
    <x v="2"/>
    <x v="0"/>
    <n v="438"/>
    <n v="153"/>
    <n v="275"/>
  </r>
  <r>
    <x v="2"/>
    <x v="2"/>
    <x v="0"/>
    <n v="2278"/>
    <n v="10"/>
    <n v="321"/>
  </r>
  <r>
    <x v="1"/>
    <x v="2"/>
    <x v="0"/>
    <n v="1407"/>
    <n v="400"/>
    <n v="351"/>
  </r>
  <r>
    <x v="1"/>
    <x v="2"/>
    <x v="0"/>
    <n v="1652"/>
    <n v="89"/>
    <n v="357"/>
  </r>
  <r>
    <x v="0"/>
    <x v="2"/>
    <x v="0"/>
    <n v="3775"/>
    <n v="16"/>
    <n v="239"/>
  </r>
  <r>
    <x v="2"/>
    <x v="2"/>
    <x v="0"/>
    <n v="4518"/>
    <n v="285"/>
    <n v="383"/>
  </r>
  <r>
    <x v="2"/>
    <x v="2"/>
    <x v="0"/>
    <n v="3024"/>
    <n v="925"/>
    <n v="350"/>
  </r>
  <r>
    <x v="1"/>
    <x v="2"/>
    <x v="0"/>
    <n v="3138"/>
    <n v="123"/>
    <n v="291"/>
  </r>
  <r>
    <x v="1"/>
    <x v="2"/>
    <x v="0"/>
    <n v="3564"/>
    <n v="629"/>
    <n v="177"/>
  </r>
  <r>
    <x v="2"/>
    <x v="2"/>
    <x v="0"/>
    <n v="4750"/>
    <n v="151"/>
    <n v="415"/>
  </r>
  <r>
    <x v="0"/>
    <x v="2"/>
    <x v="0"/>
    <n v="456"/>
    <n v="629"/>
    <n v="428"/>
  </r>
  <r>
    <x v="2"/>
    <x v="2"/>
    <x v="0"/>
    <n v="1543"/>
    <n v="820"/>
    <n v="333"/>
  </r>
  <r>
    <x v="1"/>
    <x v="2"/>
    <x v="0"/>
    <n v="2174"/>
    <n v="658"/>
    <n v="15"/>
  </r>
  <r>
    <x v="1"/>
    <x v="2"/>
    <x v="0"/>
    <n v="2358"/>
    <n v="784"/>
    <n v="344"/>
  </r>
  <r>
    <x v="0"/>
    <x v="2"/>
    <x v="0"/>
    <n v="3371"/>
    <n v="106"/>
    <n v="327"/>
  </r>
  <r>
    <x v="1"/>
    <x v="2"/>
    <x v="0"/>
    <n v="1108"/>
    <n v="177"/>
    <n v="212"/>
  </r>
  <r>
    <x v="0"/>
    <x v="2"/>
    <x v="0"/>
    <n v="2704"/>
    <n v="752"/>
    <n v="153"/>
  </r>
  <r>
    <x v="1"/>
    <x v="2"/>
    <x v="0"/>
    <n v="1950"/>
    <n v="295"/>
    <n v="478"/>
  </r>
  <r>
    <x v="1"/>
    <x v="2"/>
    <x v="0"/>
    <n v="2164"/>
    <n v="549"/>
    <n v="274"/>
  </r>
  <r>
    <x v="1"/>
    <x v="2"/>
    <x v="0"/>
    <n v="2754"/>
    <n v="130"/>
    <n v="90"/>
  </r>
  <r>
    <x v="0"/>
    <x v="2"/>
    <x v="0"/>
    <n v="2200"/>
    <n v="504"/>
    <n v="239"/>
  </r>
  <r>
    <x v="1"/>
    <x v="2"/>
    <x v="0"/>
    <n v="947"/>
    <n v="338"/>
    <n v="350"/>
  </r>
  <r>
    <x v="2"/>
    <x v="1"/>
    <x v="0"/>
    <n v="804"/>
    <n v="639"/>
    <n v="43"/>
  </r>
  <r>
    <x v="0"/>
    <x v="2"/>
    <x v="0"/>
    <n v="1686"/>
    <n v="904"/>
    <n v="472"/>
  </r>
  <r>
    <x v="2"/>
    <x v="2"/>
    <x v="0"/>
    <n v="1226"/>
    <n v="119"/>
    <n v="7"/>
  </r>
  <r>
    <x v="0"/>
    <x v="2"/>
    <x v="0"/>
    <n v="2946"/>
    <n v="498"/>
    <n v="367"/>
  </r>
  <r>
    <x v="1"/>
    <x v="2"/>
    <x v="0"/>
    <n v="2825"/>
    <n v="535"/>
    <n v="295"/>
  </r>
  <r>
    <x v="1"/>
    <x v="2"/>
    <x v="0"/>
    <n v="103"/>
    <n v="770"/>
    <n v="19"/>
  </r>
  <r>
    <x v="2"/>
    <x v="2"/>
    <x v="0"/>
    <n v="2180"/>
    <n v="263"/>
    <n v="387"/>
  </r>
  <r>
    <x v="2"/>
    <x v="3"/>
    <x v="1"/>
    <n v="904"/>
    <n v="973"/>
    <n v="63"/>
  </r>
  <r>
    <x v="1"/>
    <x v="2"/>
    <x v="0"/>
    <n v="4886"/>
    <n v="983"/>
    <n v="409"/>
  </r>
  <r>
    <x v="1"/>
    <x v="2"/>
    <x v="0"/>
    <n v="53"/>
    <n v="81"/>
    <n v="379"/>
  </r>
  <r>
    <x v="0"/>
    <x v="2"/>
    <x v="0"/>
    <n v="4507"/>
    <n v="217"/>
    <n v="13"/>
  </r>
  <r>
    <x v="0"/>
    <x v="2"/>
    <x v="0"/>
    <n v="2878"/>
    <n v="248"/>
    <n v="416"/>
  </r>
  <r>
    <x v="2"/>
    <x v="2"/>
    <x v="0"/>
    <n v="1881"/>
    <n v="501"/>
    <n v="99"/>
  </r>
  <r>
    <x v="2"/>
    <x v="2"/>
    <x v="0"/>
    <n v="432"/>
    <n v="171"/>
    <n v="280"/>
  </r>
  <r>
    <x v="2"/>
    <x v="2"/>
    <x v="0"/>
    <n v="4712"/>
    <n v="568"/>
    <n v="127"/>
  </r>
  <r>
    <x v="2"/>
    <x v="2"/>
    <x v="0"/>
    <n v="2610"/>
    <n v="126"/>
    <n v="288"/>
  </r>
  <r>
    <x v="0"/>
    <x v="2"/>
    <x v="0"/>
    <n v="1292"/>
    <n v="626"/>
    <n v="496"/>
  </r>
  <r>
    <x v="1"/>
    <x v="2"/>
    <x v="0"/>
    <n v="199"/>
    <n v="772"/>
    <n v="400"/>
  </r>
  <r>
    <x v="1"/>
    <x v="2"/>
    <x v="0"/>
    <n v="2551"/>
    <n v="915"/>
    <n v="205"/>
  </r>
  <r>
    <x v="2"/>
    <x v="2"/>
    <x v="0"/>
    <n v="296"/>
    <n v="60"/>
    <n v="141"/>
  </r>
  <r>
    <x v="0"/>
    <x v="2"/>
    <x v="0"/>
    <n v="4126"/>
    <n v="426"/>
    <n v="486"/>
  </r>
  <r>
    <x v="1"/>
    <x v="2"/>
    <x v="0"/>
    <n v="1855"/>
    <n v="200"/>
    <n v="174"/>
  </r>
  <r>
    <x v="1"/>
    <x v="2"/>
    <x v="0"/>
    <n v="1674"/>
    <n v="929"/>
    <n v="37"/>
  </r>
  <r>
    <x v="1"/>
    <x v="2"/>
    <x v="0"/>
    <n v="1121"/>
    <n v="135"/>
    <n v="18"/>
  </r>
  <r>
    <x v="1"/>
    <x v="2"/>
    <x v="0"/>
    <n v="1249"/>
    <n v="116"/>
    <n v="420"/>
  </r>
  <r>
    <x v="0"/>
    <x v="2"/>
    <x v="0"/>
    <n v="954"/>
    <n v="324"/>
    <n v="288"/>
  </r>
  <r>
    <x v="2"/>
    <x v="2"/>
    <x v="0"/>
    <n v="3068"/>
    <n v="137"/>
    <n v="329"/>
  </r>
  <r>
    <x v="0"/>
    <x v="2"/>
    <x v="0"/>
    <n v="2103"/>
    <n v="892"/>
    <n v="103"/>
  </r>
  <r>
    <x v="1"/>
    <x v="2"/>
    <x v="0"/>
    <n v="1816"/>
    <n v="29"/>
    <n v="41"/>
  </r>
  <r>
    <x v="0"/>
    <x v="3"/>
    <x v="1"/>
    <n v="725"/>
    <n v="88"/>
    <n v="428"/>
  </r>
  <r>
    <x v="2"/>
    <x v="2"/>
    <x v="0"/>
    <n v="1094"/>
    <n v="472"/>
    <n v="21"/>
  </r>
  <r>
    <x v="0"/>
    <x v="2"/>
    <x v="0"/>
    <n v="1841"/>
    <n v="851"/>
    <n v="342"/>
  </r>
  <r>
    <x v="0"/>
    <x v="2"/>
    <x v="0"/>
    <n v="4177"/>
    <n v="569"/>
    <n v="55"/>
  </r>
  <r>
    <x v="2"/>
    <x v="1"/>
    <x v="0"/>
    <n v="3428"/>
    <n v="305"/>
    <n v="85"/>
  </r>
  <r>
    <x v="0"/>
    <x v="2"/>
    <x v="0"/>
    <n v="1436"/>
    <n v="765"/>
    <n v="496"/>
  </r>
  <r>
    <x v="1"/>
    <x v="2"/>
    <x v="0"/>
    <n v="302"/>
    <n v="47"/>
    <n v="430"/>
  </r>
  <r>
    <x v="2"/>
    <x v="2"/>
    <x v="0"/>
    <n v="2214"/>
    <n v="249"/>
    <n v="152"/>
  </r>
  <r>
    <x v="1"/>
    <x v="2"/>
    <x v="0"/>
    <n v="3861"/>
    <n v="960"/>
    <n v="101"/>
  </r>
  <r>
    <x v="2"/>
    <x v="2"/>
    <x v="0"/>
    <n v="1263"/>
    <n v="397"/>
    <n v="357"/>
  </r>
  <r>
    <x v="0"/>
    <x v="2"/>
    <x v="0"/>
    <n v="3801"/>
    <n v="967"/>
    <n v="401"/>
  </r>
  <r>
    <x v="2"/>
    <x v="2"/>
    <x v="0"/>
    <n v="1431"/>
    <n v="951"/>
    <n v="26"/>
  </r>
  <r>
    <x v="0"/>
    <x v="2"/>
    <x v="0"/>
    <n v="2647"/>
    <n v="304"/>
    <n v="170"/>
  </r>
  <r>
    <x v="0"/>
    <x v="2"/>
    <x v="0"/>
    <n v="3182"/>
    <n v="559"/>
    <n v="160"/>
  </r>
  <r>
    <x v="0"/>
    <x v="2"/>
    <x v="0"/>
    <n v="1238"/>
    <n v="366"/>
    <n v="444"/>
  </r>
  <r>
    <x v="1"/>
    <x v="0"/>
    <x v="0"/>
    <n v="4739"/>
    <n v="527"/>
    <n v="135"/>
  </r>
  <r>
    <x v="0"/>
    <x v="2"/>
    <x v="0"/>
    <n v="1575"/>
    <n v="771"/>
    <n v="486"/>
  </r>
  <r>
    <x v="0"/>
    <x v="2"/>
    <x v="0"/>
    <n v="4171"/>
    <n v="548"/>
    <n v="86"/>
  </r>
  <r>
    <x v="2"/>
    <x v="2"/>
    <x v="0"/>
    <n v="1766"/>
    <n v="92"/>
    <n v="424"/>
  </r>
  <r>
    <x v="0"/>
    <x v="2"/>
    <x v="0"/>
    <n v="4450"/>
    <n v="983"/>
    <n v="143"/>
  </r>
  <r>
    <x v="2"/>
    <x v="2"/>
    <x v="0"/>
    <n v="1000"/>
    <n v="978"/>
    <n v="162"/>
  </r>
  <r>
    <x v="2"/>
    <x v="2"/>
    <x v="0"/>
    <n v="3689"/>
    <n v="48"/>
    <n v="306"/>
  </r>
  <r>
    <x v="1"/>
    <x v="2"/>
    <x v="0"/>
    <n v="3655"/>
    <n v="568"/>
    <n v="286"/>
  </r>
  <r>
    <x v="0"/>
    <x v="2"/>
    <x v="0"/>
    <n v="498"/>
    <n v="38"/>
    <n v="42"/>
  </r>
  <r>
    <x v="1"/>
    <x v="2"/>
    <x v="0"/>
    <n v="4619"/>
    <n v="821"/>
    <n v="499"/>
  </r>
  <r>
    <x v="1"/>
    <x v="2"/>
    <x v="0"/>
    <n v="4832"/>
    <n v="893"/>
    <n v="10"/>
  </r>
  <r>
    <x v="1"/>
    <x v="2"/>
    <x v="0"/>
    <n v="4050"/>
    <n v="871"/>
    <n v="347"/>
  </r>
  <r>
    <x v="0"/>
    <x v="2"/>
    <x v="0"/>
    <n v="3649"/>
    <n v="215"/>
    <n v="413"/>
  </r>
  <r>
    <x v="2"/>
    <x v="2"/>
    <x v="0"/>
    <n v="3523"/>
    <n v="753"/>
    <n v="482"/>
  </r>
  <r>
    <x v="1"/>
    <x v="2"/>
    <x v="0"/>
    <n v="2719"/>
    <n v="17"/>
    <n v="285"/>
  </r>
  <r>
    <x v="0"/>
    <x v="2"/>
    <x v="0"/>
    <n v="1957"/>
    <n v="877"/>
    <n v="238"/>
  </r>
  <r>
    <x v="2"/>
    <x v="2"/>
    <x v="0"/>
    <n v="4419"/>
    <n v="236"/>
    <n v="369"/>
  </r>
  <r>
    <x v="0"/>
    <x v="2"/>
    <x v="0"/>
    <n v="4000"/>
    <n v="689"/>
    <n v="488"/>
  </r>
  <r>
    <x v="1"/>
    <x v="0"/>
    <x v="0"/>
    <n v="2493"/>
    <n v="97"/>
    <n v="44"/>
  </r>
  <r>
    <x v="1"/>
    <x v="2"/>
    <x v="0"/>
    <n v="3704"/>
    <n v="186"/>
    <n v="458"/>
  </r>
  <r>
    <x v="2"/>
    <x v="2"/>
    <x v="0"/>
    <n v="1606"/>
    <n v="451"/>
    <n v="405"/>
  </r>
  <r>
    <x v="0"/>
    <x v="2"/>
    <x v="0"/>
    <n v="4551"/>
    <n v="714"/>
    <n v="207"/>
  </r>
  <r>
    <x v="0"/>
    <x v="2"/>
    <x v="0"/>
    <n v="1970"/>
    <n v="675"/>
    <n v="478"/>
  </r>
  <r>
    <x v="2"/>
    <x v="2"/>
    <x v="0"/>
    <n v="780"/>
    <n v="928"/>
    <n v="301"/>
  </r>
  <r>
    <x v="0"/>
    <x v="2"/>
    <x v="0"/>
    <n v="498"/>
    <n v="701"/>
    <n v="412"/>
  </r>
  <r>
    <x v="2"/>
    <x v="2"/>
    <x v="0"/>
    <n v="3432"/>
    <n v="869"/>
    <n v="123"/>
  </r>
  <r>
    <x v="2"/>
    <x v="2"/>
    <x v="0"/>
    <n v="4363"/>
    <n v="649"/>
    <n v="140"/>
  </r>
  <r>
    <x v="2"/>
    <x v="2"/>
    <x v="0"/>
    <n v="736"/>
    <n v="771"/>
    <n v="225"/>
  </r>
  <r>
    <x v="1"/>
    <x v="2"/>
    <x v="0"/>
    <n v="3811"/>
    <n v="866"/>
    <n v="216"/>
  </r>
  <r>
    <x v="0"/>
    <x v="2"/>
    <x v="0"/>
    <n v="4158"/>
    <n v="167"/>
    <n v="241"/>
  </r>
  <r>
    <x v="0"/>
    <x v="2"/>
    <x v="0"/>
    <n v="3452"/>
    <n v="652"/>
    <n v="442"/>
  </r>
  <r>
    <x v="0"/>
    <x v="2"/>
    <x v="0"/>
    <n v="3092"/>
    <n v="106"/>
    <n v="291"/>
  </r>
  <r>
    <x v="1"/>
    <x v="2"/>
    <x v="0"/>
    <n v="2147"/>
    <n v="430"/>
    <n v="393"/>
  </r>
  <r>
    <x v="2"/>
    <x v="2"/>
    <x v="0"/>
    <n v="2936"/>
    <n v="439"/>
    <n v="44"/>
  </r>
  <r>
    <x v="0"/>
    <x v="2"/>
    <x v="0"/>
    <n v="4840"/>
    <n v="658"/>
    <n v="211"/>
  </r>
  <r>
    <x v="0"/>
    <x v="2"/>
    <x v="0"/>
    <n v="1947"/>
    <n v="842"/>
    <n v="101"/>
  </r>
  <r>
    <x v="1"/>
    <x v="2"/>
    <x v="0"/>
    <n v="2072"/>
    <n v="532"/>
    <n v="71"/>
  </r>
  <r>
    <x v="1"/>
    <x v="2"/>
    <x v="0"/>
    <n v="3731"/>
    <n v="115"/>
    <n v="135"/>
  </r>
  <r>
    <x v="0"/>
    <x v="2"/>
    <x v="0"/>
    <n v="4213"/>
    <n v="253"/>
    <n v="434"/>
  </r>
  <r>
    <x v="2"/>
    <x v="2"/>
    <x v="0"/>
    <n v="3134"/>
    <n v="888"/>
    <n v="444"/>
  </r>
  <r>
    <x v="0"/>
    <x v="2"/>
    <x v="0"/>
    <n v="3008"/>
    <n v="94"/>
    <n v="37"/>
  </r>
  <r>
    <x v="0"/>
    <x v="2"/>
    <x v="0"/>
    <n v="305"/>
    <n v="187"/>
    <n v="243"/>
  </r>
  <r>
    <x v="2"/>
    <x v="2"/>
    <x v="0"/>
    <n v="2746"/>
    <n v="156"/>
    <n v="203"/>
  </r>
  <r>
    <x v="2"/>
    <x v="4"/>
    <x v="0"/>
    <n v="2291"/>
    <n v="78"/>
    <n v="485"/>
  </r>
  <r>
    <x v="0"/>
    <x v="2"/>
    <x v="0"/>
    <n v="3170"/>
    <n v="857"/>
    <n v="379"/>
  </r>
  <r>
    <x v="0"/>
    <x v="2"/>
    <x v="0"/>
    <n v="2070"/>
    <n v="275"/>
    <n v="386"/>
  </r>
  <r>
    <x v="1"/>
    <x v="2"/>
    <x v="0"/>
    <n v="80"/>
    <n v="362"/>
    <n v="80"/>
  </r>
  <r>
    <x v="2"/>
    <x v="2"/>
    <x v="0"/>
    <n v="4929"/>
    <n v="749"/>
    <n v="452"/>
  </r>
  <r>
    <x v="1"/>
    <x v="2"/>
    <x v="0"/>
    <n v="1878"/>
    <n v="62"/>
    <n v="179"/>
  </r>
  <r>
    <x v="2"/>
    <x v="0"/>
    <x v="0"/>
    <n v="3065"/>
    <n v="772"/>
    <n v="142"/>
  </r>
  <r>
    <x v="1"/>
    <x v="2"/>
    <x v="0"/>
    <n v="3256"/>
    <n v="459"/>
    <n v="266"/>
  </r>
  <r>
    <x v="2"/>
    <x v="2"/>
    <x v="0"/>
    <n v="4133"/>
    <n v="466"/>
    <n v="327"/>
  </r>
  <r>
    <x v="2"/>
    <x v="2"/>
    <x v="0"/>
    <n v="1702"/>
    <n v="750"/>
    <n v="179"/>
  </r>
  <r>
    <x v="1"/>
    <x v="2"/>
    <x v="0"/>
    <n v="4295"/>
    <n v="853"/>
    <n v="325"/>
  </r>
  <r>
    <x v="2"/>
    <x v="2"/>
    <x v="0"/>
    <n v="3559"/>
    <n v="59"/>
    <n v="289"/>
  </r>
  <r>
    <x v="2"/>
    <x v="2"/>
    <x v="0"/>
    <n v="4804"/>
    <n v="550"/>
    <n v="270"/>
  </r>
  <r>
    <x v="1"/>
    <x v="2"/>
    <x v="0"/>
    <n v="754"/>
    <n v="197"/>
    <n v="257"/>
  </r>
  <r>
    <x v="0"/>
    <x v="2"/>
    <x v="0"/>
    <n v="985"/>
    <n v="932"/>
    <n v="287"/>
  </r>
  <r>
    <x v="0"/>
    <x v="2"/>
    <x v="0"/>
    <n v="2283"/>
    <n v="210"/>
    <n v="130"/>
  </r>
  <r>
    <x v="0"/>
    <x v="2"/>
    <x v="0"/>
    <n v="3352"/>
    <n v="941"/>
    <n v="482"/>
  </r>
  <r>
    <x v="0"/>
    <x v="2"/>
    <x v="0"/>
    <n v="4775"/>
    <n v="173"/>
    <n v="206"/>
  </r>
  <r>
    <x v="1"/>
    <x v="2"/>
    <x v="0"/>
    <n v="1762"/>
    <n v="405"/>
    <n v="423"/>
  </r>
  <r>
    <x v="0"/>
    <x v="2"/>
    <x v="0"/>
    <n v="2120"/>
    <n v="158"/>
    <n v="488"/>
  </r>
  <r>
    <x v="1"/>
    <x v="2"/>
    <x v="0"/>
    <n v="1082"/>
    <n v="209"/>
    <n v="484"/>
  </r>
  <r>
    <x v="1"/>
    <x v="2"/>
    <x v="0"/>
    <n v="4671"/>
    <n v="876"/>
    <n v="366"/>
  </r>
  <r>
    <x v="0"/>
    <x v="2"/>
    <x v="0"/>
    <n v="3430"/>
    <n v="566"/>
    <n v="164"/>
  </r>
  <r>
    <x v="1"/>
    <x v="2"/>
    <x v="0"/>
    <n v="4501"/>
    <n v="375"/>
    <n v="323"/>
  </r>
  <r>
    <x v="1"/>
    <x v="0"/>
    <x v="0"/>
    <n v="4934"/>
    <n v="971"/>
    <n v="156"/>
  </r>
  <r>
    <x v="1"/>
    <x v="2"/>
    <x v="0"/>
    <n v="3239"/>
    <n v="43"/>
    <n v="211"/>
  </r>
  <r>
    <x v="0"/>
    <x v="2"/>
    <x v="0"/>
    <n v="1076"/>
    <n v="313"/>
    <n v="306"/>
  </r>
  <r>
    <x v="0"/>
    <x v="2"/>
    <x v="0"/>
    <n v="4771"/>
    <n v="818"/>
    <n v="56"/>
  </r>
  <r>
    <x v="2"/>
    <x v="2"/>
    <x v="0"/>
    <n v="2418"/>
    <n v="754"/>
    <n v="54"/>
  </r>
  <r>
    <x v="2"/>
    <x v="2"/>
    <x v="0"/>
    <n v="3809"/>
    <n v="273"/>
    <n v="200"/>
  </r>
  <r>
    <x v="1"/>
    <x v="2"/>
    <x v="0"/>
    <n v="3577"/>
    <n v="596"/>
    <n v="493"/>
  </r>
  <r>
    <x v="0"/>
    <x v="2"/>
    <x v="0"/>
    <n v="1018"/>
    <n v="447"/>
    <n v="332"/>
  </r>
  <r>
    <x v="2"/>
    <x v="2"/>
    <x v="0"/>
    <n v="3073"/>
    <n v="553"/>
    <n v="174"/>
  </r>
  <r>
    <x v="0"/>
    <x v="2"/>
    <x v="0"/>
    <n v="1330"/>
    <n v="925"/>
    <n v="35"/>
  </r>
  <r>
    <x v="2"/>
    <x v="2"/>
    <x v="0"/>
    <n v="3828"/>
    <n v="148"/>
    <n v="253"/>
  </r>
  <r>
    <x v="0"/>
    <x v="2"/>
    <x v="0"/>
    <n v="142"/>
    <n v="784"/>
    <n v="183"/>
  </r>
  <r>
    <x v="1"/>
    <x v="2"/>
    <x v="0"/>
    <n v="3798"/>
    <n v="31"/>
    <n v="279"/>
  </r>
  <r>
    <x v="1"/>
    <x v="2"/>
    <x v="0"/>
    <n v="3099"/>
    <n v="694"/>
    <n v="171"/>
  </r>
  <r>
    <x v="1"/>
    <x v="2"/>
    <x v="0"/>
    <n v="129"/>
    <n v="643"/>
    <n v="136"/>
  </r>
  <r>
    <x v="1"/>
    <x v="2"/>
    <x v="0"/>
    <n v="3796"/>
    <n v="667"/>
    <n v="395"/>
  </r>
  <r>
    <x v="1"/>
    <x v="2"/>
    <x v="0"/>
    <n v="3711"/>
    <n v="352"/>
    <n v="290"/>
  </r>
  <r>
    <x v="2"/>
    <x v="2"/>
    <x v="0"/>
    <n v="606"/>
    <n v="789"/>
    <n v="470"/>
  </r>
  <r>
    <x v="1"/>
    <x v="2"/>
    <x v="0"/>
    <n v="4689"/>
    <n v="134"/>
    <n v="403"/>
  </r>
  <r>
    <x v="0"/>
    <x v="2"/>
    <x v="0"/>
    <n v="360"/>
    <n v="590"/>
    <n v="393"/>
  </r>
  <r>
    <x v="2"/>
    <x v="2"/>
    <x v="0"/>
    <n v="3215"/>
    <n v="960"/>
    <n v="202"/>
  </r>
  <r>
    <x v="2"/>
    <x v="2"/>
    <x v="0"/>
    <n v="4523"/>
    <n v="61"/>
    <n v="157"/>
  </r>
  <r>
    <x v="2"/>
    <x v="2"/>
    <x v="0"/>
    <n v="4292"/>
    <n v="51"/>
    <n v="392"/>
  </r>
  <r>
    <x v="2"/>
    <x v="2"/>
    <x v="0"/>
    <n v="1644"/>
    <n v="546"/>
    <n v="150"/>
  </r>
  <r>
    <x v="0"/>
    <x v="2"/>
    <x v="0"/>
    <n v="2728"/>
    <n v="533"/>
    <n v="215"/>
  </r>
  <r>
    <x v="1"/>
    <x v="2"/>
    <x v="0"/>
    <n v="3360"/>
    <n v="525"/>
    <n v="500"/>
  </r>
  <r>
    <x v="0"/>
    <x v="2"/>
    <x v="0"/>
    <n v="1963"/>
    <n v="213"/>
    <n v="19"/>
  </r>
  <r>
    <x v="0"/>
    <x v="2"/>
    <x v="0"/>
    <n v="4285"/>
    <n v="886"/>
    <n v="376"/>
  </r>
  <r>
    <x v="2"/>
    <x v="2"/>
    <x v="0"/>
    <n v="1176"/>
    <n v="464"/>
    <n v="394"/>
  </r>
  <r>
    <x v="2"/>
    <x v="2"/>
    <x v="0"/>
    <n v="4858"/>
    <n v="317"/>
    <n v="129"/>
  </r>
  <r>
    <x v="2"/>
    <x v="2"/>
    <x v="0"/>
    <n v="4350"/>
    <n v="771"/>
    <n v="7"/>
  </r>
  <r>
    <x v="0"/>
    <x v="3"/>
    <x v="1"/>
    <n v="914"/>
    <n v="464"/>
    <n v="246"/>
  </r>
  <r>
    <x v="2"/>
    <x v="2"/>
    <x v="0"/>
    <n v="1813"/>
    <n v="623"/>
    <n v="72"/>
  </r>
  <r>
    <x v="2"/>
    <x v="2"/>
    <x v="0"/>
    <n v="4782"/>
    <n v="721"/>
    <n v="82"/>
  </r>
  <r>
    <x v="1"/>
    <x v="2"/>
    <x v="0"/>
    <n v="1048"/>
    <n v="374"/>
    <n v="450"/>
  </r>
  <r>
    <x v="1"/>
    <x v="2"/>
    <x v="0"/>
    <n v="2509"/>
    <n v="324"/>
    <n v="171"/>
  </r>
  <r>
    <x v="1"/>
    <x v="2"/>
    <x v="0"/>
    <n v="3718"/>
    <n v="385"/>
    <n v="310"/>
  </r>
  <r>
    <x v="2"/>
    <x v="2"/>
    <x v="0"/>
    <n v="802"/>
    <n v="262"/>
    <n v="244"/>
  </r>
  <r>
    <x v="2"/>
    <x v="2"/>
    <x v="0"/>
    <n v="1871"/>
    <n v="252"/>
    <n v="335"/>
  </r>
  <r>
    <x v="0"/>
    <x v="2"/>
    <x v="0"/>
    <n v="3773"/>
    <n v="299"/>
    <n v="38"/>
  </r>
  <r>
    <x v="0"/>
    <x v="2"/>
    <x v="0"/>
    <n v="2234"/>
    <n v="653"/>
    <n v="432"/>
  </r>
  <r>
    <x v="1"/>
    <x v="4"/>
    <x v="0"/>
    <n v="3820"/>
    <n v="697"/>
    <n v="268"/>
  </r>
  <r>
    <x v="2"/>
    <x v="2"/>
    <x v="0"/>
    <n v="941"/>
    <n v="121"/>
    <n v="458"/>
  </r>
  <r>
    <x v="1"/>
    <x v="4"/>
    <x v="0"/>
    <n v="4274"/>
    <n v="340"/>
    <n v="281"/>
  </r>
  <r>
    <x v="1"/>
    <x v="2"/>
    <x v="0"/>
    <n v="2949"/>
    <n v="476"/>
    <n v="403"/>
  </r>
  <r>
    <x v="0"/>
    <x v="0"/>
    <x v="0"/>
    <n v="3160"/>
    <n v="204"/>
    <n v="297"/>
  </r>
  <r>
    <x v="0"/>
    <x v="2"/>
    <x v="0"/>
    <n v="257"/>
    <n v="966"/>
    <n v="398"/>
  </r>
  <r>
    <x v="0"/>
    <x v="2"/>
    <x v="0"/>
    <n v="2120"/>
    <n v="38"/>
    <n v="212"/>
  </r>
  <r>
    <x v="1"/>
    <x v="2"/>
    <x v="0"/>
    <n v="3874"/>
    <n v="884"/>
    <n v="19"/>
  </r>
  <r>
    <x v="2"/>
    <x v="2"/>
    <x v="0"/>
    <n v="2696"/>
    <n v="628"/>
    <n v="443"/>
  </r>
  <r>
    <x v="0"/>
    <x v="2"/>
    <x v="0"/>
    <n v="521"/>
    <n v="746"/>
    <n v="315"/>
  </r>
  <r>
    <x v="2"/>
    <x v="2"/>
    <x v="0"/>
    <n v="4872"/>
    <n v="925"/>
    <n v="176"/>
  </r>
  <r>
    <x v="2"/>
    <x v="2"/>
    <x v="0"/>
    <n v="1509"/>
    <n v="88"/>
    <n v="163"/>
  </r>
  <r>
    <x v="1"/>
    <x v="2"/>
    <x v="0"/>
    <n v="4606"/>
    <n v="931"/>
    <n v="230"/>
  </r>
  <r>
    <x v="1"/>
    <x v="2"/>
    <x v="0"/>
    <n v="1869"/>
    <n v="453"/>
    <n v="490"/>
  </r>
  <r>
    <x v="1"/>
    <x v="2"/>
    <x v="0"/>
    <n v="1188"/>
    <n v="470"/>
    <n v="174"/>
  </r>
  <r>
    <x v="2"/>
    <x v="2"/>
    <x v="0"/>
    <n v="84"/>
    <n v="897"/>
    <n v="85"/>
  </r>
  <r>
    <x v="1"/>
    <x v="2"/>
    <x v="0"/>
    <n v="4453"/>
    <n v="111"/>
    <n v="420"/>
  </r>
  <r>
    <x v="0"/>
    <x v="4"/>
    <x v="0"/>
    <n v="1814"/>
    <n v="653"/>
    <n v="363"/>
  </r>
  <r>
    <x v="1"/>
    <x v="2"/>
    <x v="0"/>
    <n v="3338"/>
    <n v="277"/>
    <n v="118"/>
  </r>
  <r>
    <x v="1"/>
    <x v="2"/>
    <x v="0"/>
    <n v="602"/>
    <n v="594"/>
    <n v="156"/>
  </r>
  <r>
    <x v="2"/>
    <x v="2"/>
    <x v="0"/>
    <n v="4672"/>
    <n v="325"/>
    <n v="32"/>
  </r>
  <r>
    <x v="1"/>
    <x v="2"/>
    <x v="0"/>
    <n v="1741"/>
    <n v="164"/>
    <n v="318"/>
  </r>
  <r>
    <x v="0"/>
    <x v="2"/>
    <x v="0"/>
    <n v="246"/>
    <n v="149"/>
    <n v="130"/>
  </r>
  <r>
    <x v="2"/>
    <x v="2"/>
    <x v="0"/>
    <n v="4808"/>
    <n v="772"/>
    <n v="320"/>
  </r>
  <r>
    <x v="1"/>
    <x v="2"/>
    <x v="0"/>
    <n v="4799"/>
    <n v="694"/>
    <n v="289"/>
  </r>
  <r>
    <x v="2"/>
    <x v="2"/>
    <x v="0"/>
    <n v="3663"/>
    <n v="17"/>
    <n v="295"/>
  </r>
  <r>
    <x v="0"/>
    <x v="2"/>
    <x v="0"/>
    <n v="1430"/>
    <n v="376"/>
    <n v="33"/>
  </r>
  <r>
    <x v="2"/>
    <x v="2"/>
    <x v="0"/>
    <n v="249"/>
    <n v="592"/>
    <n v="230"/>
  </r>
  <r>
    <x v="0"/>
    <x v="2"/>
    <x v="0"/>
    <n v="2382"/>
    <n v="265"/>
    <n v="134"/>
  </r>
  <r>
    <x v="1"/>
    <x v="2"/>
    <x v="0"/>
    <n v="1272"/>
    <n v="465"/>
    <n v="99"/>
  </r>
  <r>
    <x v="1"/>
    <x v="2"/>
    <x v="0"/>
    <n v="3196"/>
    <n v="941"/>
    <n v="376"/>
  </r>
  <r>
    <x v="0"/>
    <x v="0"/>
    <x v="2"/>
    <n v="1257"/>
    <n v="19"/>
    <n v="351"/>
  </r>
  <r>
    <x v="0"/>
    <x v="2"/>
    <x v="0"/>
    <n v="3770"/>
    <n v="917"/>
    <n v="129"/>
  </r>
  <r>
    <x v="0"/>
    <x v="2"/>
    <x v="0"/>
    <n v="4725"/>
    <n v="400"/>
    <n v="362"/>
  </r>
  <r>
    <x v="0"/>
    <x v="2"/>
    <x v="0"/>
    <n v="4188"/>
    <n v="942"/>
    <n v="118"/>
  </r>
  <r>
    <x v="2"/>
    <x v="3"/>
    <x v="1"/>
    <n v="929"/>
    <n v="192"/>
    <n v="322"/>
  </r>
  <r>
    <x v="1"/>
    <x v="2"/>
    <x v="0"/>
    <n v="4321"/>
    <n v="874"/>
    <n v="172"/>
  </r>
  <r>
    <x v="2"/>
    <x v="2"/>
    <x v="0"/>
    <n v="4767"/>
    <n v="190"/>
    <n v="340"/>
  </r>
  <r>
    <x v="0"/>
    <x v="2"/>
    <x v="0"/>
    <n v="3592"/>
    <n v="911"/>
    <n v="375"/>
  </r>
  <r>
    <x v="0"/>
    <x v="2"/>
    <x v="0"/>
    <n v="4661"/>
    <n v="935"/>
    <n v="433"/>
  </r>
  <r>
    <x v="2"/>
    <x v="2"/>
    <x v="0"/>
    <n v="4134"/>
    <n v="824"/>
    <n v="99"/>
  </r>
  <r>
    <x v="0"/>
    <x v="2"/>
    <x v="0"/>
    <n v="400"/>
    <n v="680"/>
    <n v="434"/>
  </r>
  <r>
    <x v="0"/>
    <x v="5"/>
    <x v="3"/>
    <n v="3960"/>
    <n v="266"/>
    <n v="8"/>
  </r>
  <r>
    <x v="2"/>
    <x v="2"/>
    <x v="0"/>
    <n v="886"/>
    <n v="126"/>
    <n v="153"/>
  </r>
  <r>
    <x v="2"/>
    <x v="2"/>
    <x v="0"/>
    <n v="827"/>
    <n v="77"/>
    <n v="402"/>
  </r>
  <r>
    <x v="0"/>
    <x v="2"/>
    <x v="0"/>
    <n v="3813"/>
    <n v="935"/>
    <n v="274"/>
  </r>
  <r>
    <x v="0"/>
    <x v="2"/>
    <x v="0"/>
    <n v="1377"/>
    <n v="796"/>
    <n v="387"/>
  </r>
  <r>
    <x v="0"/>
    <x v="2"/>
    <x v="0"/>
    <n v="2089"/>
    <n v="476"/>
    <n v="69"/>
  </r>
  <r>
    <x v="2"/>
    <x v="2"/>
    <x v="0"/>
    <n v="3791"/>
    <n v="593"/>
    <n v="228"/>
  </r>
  <r>
    <x v="0"/>
    <x v="2"/>
    <x v="0"/>
    <n v="2692"/>
    <n v="115"/>
    <n v="64"/>
  </r>
  <r>
    <x v="0"/>
    <x v="2"/>
    <x v="0"/>
    <n v="3767"/>
    <n v="514"/>
    <n v="238"/>
  </r>
  <r>
    <x v="2"/>
    <x v="2"/>
    <x v="0"/>
    <n v="2143"/>
    <n v="12"/>
    <n v="204"/>
  </r>
  <r>
    <x v="2"/>
    <x v="5"/>
    <x v="3"/>
    <n v="3090"/>
    <n v="697"/>
    <n v="164"/>
  </r>
  <r>
    <x v="2"/>
    <x v="2"/>
    <x v="0"/>
    <n v="3601"/>
    <n v="695"/>
    <n v="75"/>
  </r>
  <r>
    <x v="1"/>
    <x v="2"/>
    <x v="0"/>
    <n v="562"/>
    <n v="158"/>
    <n v="149"/>
  </r>
  <r>
    <x v="1"/>
    <x v="5"/>
    <x v="3"/>
    <n v="4332"/>
    <n v="771"/>
    <n v="219"/>
  </r>
  <r>
    <x v="2"/>
    <x v="2"/>
    <x v="0"/>
    <n v="4853"/>
    <n v="837"/>
    <n v="340"/>
  </r>
  <r>
    <x v="1"/>
    <x v="2"/>
    <x v="0"/>
    <n v="1206"/>
    <n v="238"/>
    <n v="36"/>
  </r>
  <r>
    <x v="0"/>
    <x v="2"/>
    <x v="0"/>
    <n v="2603"/>
    <n v="690"/>
    <n v="205"/>
  </r>
  <r>
    <x v="1"/>
    <x v="2"/>
    <x v="0"/>
    <n v="59"/>
    <n v="163"/>
    <n v="93"/>
  </r>
  <r>
    <x v="2"/>
    <x v="2"/>
    <x v="0"/>
    <n v="1877"/>
    <n v="745"/>
    <n v="225"/>
  </r>
  <r>
    <x v="1"/>
    <x v="2"/>
    <x v="0"/>
    <n v="4182"/>
    <n v="640"/>
    <n v="240"/>
  </r>
  <r>
    <x v="0"/>
    <x v="2"/>
    <x v="0"/>
    <n v="4187"/>
    <n v="66"/>
    <n v="31"/>
  </r>
  <r>
    <x v="2"/>
    <x v="2"/>
    <x v="0"/>
    <n v="4579"/>
    <n v="125"/>
    <n v="300"/>
  </r>
  <r>
    <x v="1"/>
    <x v="2"/>
    <x v="0"/>
    <n v="4561"/>
    <n v="51"/>
    <n v="441"/>
  </r>
  <r>
    <x v="1"/>
    <x v="2"/>
    <x v="0"/>
    <n v="3774"/>
    <n v="239"/>
    <n v="39"/>
  </r>
  <r>
    <x v="2"/>
    <x v="2"/>
    <x v="0"/>
    <n v="3575"/>
    <n v="749"/>
    <n v="111"/>
  </r>
  <r>
    <x v="1"/>
    <x v="2"/>
    <x v="0"/>
    <n v="4941"/>
    <n v="414"/>
    <n v="266"/>
  </r>
  <r>
    <x v="2"/>
    <x v="2"/>
    <x v="0"/>
    <n v="3641"/>
    <n v="226"/>
    <n v="46"/>
  </r>
  <r>
    <x v="1"/>
    <x v="2"/>
    <x v="0"/>
    <n v="3535"/>
    <n v="494"/>
    <n v="152"/>
  </r>
  <r>
    <x v="2"/>
    <x v="2"/>
    <x v="0"/>
    <n v="1741"/>
    <n v="831"/>
    <n v="345"/>
  </r>
  <r>
    <x v="1"/>
    <x v="2"/>
    <x v="0"/>
    <n v="1556"/>
    <n v="195"/>
    <n v="131"/>
  </r>
  <r>
    <x v="0"/>
    <x v="2"/>
    <x v="0"/>
    <n v="4236"/>
    <n v="711"/>
    <n v="298"/>
  </r>
  <r>
    <x v="2"/>
    <x v="2"/>
    <x v="0"/>
    <n v="4516"/>
    <n v="836"/>
    <n v="169"/>
  </r>
  <r>
    <x v="1"/>
    <x v="2"/>
    <x v="0"/>
    <n v="4905"/>
    <n v="845"/>
    <n v="129"/>
  </r>
  <r>
    <x v="2"/>
    <x v="3"/>
    <x v="1"/>
    <n v="4275"/>
    <n v="680"/>
    <n v="385"/>
  </r>
  <r>
    <x v="2"/>
    <x v="2"/>
    <x v="0"/>
    <n v="3166"/>
    <n v="90"/>
    <n v="341"/>
  </r>
  <r>
    <x v="0"/>
    <x v="2"/>
    <x v="0"/>
    <n v="1488"/>
    <n v="417"/>
    <n v="168"/>
  </r>
  <r>
    <x v="0"/>
    <x v="2"/>
    <x v="0"/>
    <n v="3367"/>
    <n v="302"/>
    <n v="57"/>
  </r>
  <r>
    <x v="1"/>
    <x v="2"/>
    <x v="0"/>
    <n v="571"/>
    <n v="190"/>
    <n v="352"/>
  </r>
  <r>
    <x v="2"/>
    <x v="2"/>
    <x v="0"/>
    <n v="4021"/>
    <n v="794"/>
    <n v="77"/>
  </r>
  <r>
    <x v="0"/>
    <x v="2"/>
    <x v="0"/>
    <n v="3389"/>
    <n v="344"/>
    <n v="229"/>
  </r>
  <r>
    <x v="2"/>
    <x v="2"/>
    <x v="0"/>
    <n v="1164"/>
    <n v="616"/>
    <n v="324"/>
  </r>
  <r>
    <x v="0"/>
    <x v="2"/>
    <x v="0"/>
    <n v="4780"/>
    <n v="691"/>
    <n v="380"/>
  </r>
  <r>
    <x v="0"/>
    <x v="2"/>
    <x v="0"/>
    <n v="2751"/>
    <n v="33"/>
    <n v="430"/>
  </r>
  <r>
    <x v="2"/>
    <x v="2"/>
    <x v="0"/>
    <n v="2107"/>
    <n v="550"/>
    <n v="349"/>
  </r>
  <r>
    <x v="2"/>
    <x v="2"/>
    <x v="0"/>
    <n v="4663"/>
    <n v="145"/>
    <n v="225"/>
  </r>
  <r>
    <x v="1"/>
    <x v="0"/>
    <x v="0"/>
    <n v="880"/>
    <n v="297"/>
    <n v="345"/>
  </r>
  <r>
    <x v="2"/>
    <x v="2"/>
    <x v="0"/>
    <n v="2634"/>
    <n v="726"/>
    <n v="241"/>
  </r>
  <r>
    <x v="2"/>
    <x v="2"/>
    <x v="0"/>
    <n v="4731"/>
    <n v="173"/>
    <n v="276"/>
  </r>
  <r>
    <x v="0"/>
    <x v="3"/>
    <x v="1"/>
    <n v="1952"/>
    <n v="344"/>
    <n v="287"/>
  </r>
  <r>
    <x v="1"/>
    <x v="4"/>
    <x v="0"/>
    <n v="3440"/>
    <n v="13"/>
    <n v="20"/>
  </r>
  <r>
    <x v="2"/>
    <x v="2"/>
    <x v="0"/>
    <n v="2166"/>
    <n v="354"/>
    <n v="117"/>
  </r>
  <r>
    <x v="1"/>
    <x v="2"/>
    <x v="0"/>
    <n v="4303"/>
    <n v="451"/>
    <n v="286"/>
  </r>
  <r>
    <x v="0"/>
    <x v="2"/>
    <x v="0"/>
    <n v="2581"/>
    <n v="517"/>
    <n v="117"/>
  </r>
  <r>
    <x v="1"/>
    <x v="5"/>
    <x v="3"/>
    <n v="4494"/>
    <n v="717"/>
    <n v="45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x v="0"/>
    <x v="0"/>
    <n v="344"/>
    <x v="0"/>
    <s v="Reel"/>
  </r>
  <r>
    <x v="1"/>
    <x v="1"/>
    <n v="493"/>
    <x v="0"/>
    <s v="Text"/>
  </r>
  <r>
    <x v="2"/>
    <x v="2"/>
    <n v="49"/>
    <x v="1"/>
    <s v="Reel"/>
  </r>
  <r>
    <x v="3"/>
    <x v="3"/>
    <n v="138"/>
    <x v="2"/>
    <s v="Story"/>
  </r>
  <r>
    <x v="4"/>
    <x v="4"/>
    <n v="424"/>
    <x v="1"/>
    <s v="Reel"/>
  </r>
  <r>
    <x v="5"/>
    <x v="5"/>
    <n v="355"/>
    <x v="3"/>
    <s v="Carousel"/>
  </r>
  <r>
    <x v="6"/>
    <x v="6"/>
    <n v="279"/>
    <x v="0"/>
    <s v="Carousel"/>
  </r>
  <r>
    <x v="7"/>
    <x v="7"/>
    <n v="278"/>
    <x v="1"/>
    <s v="Image"/>
  </r>
  <r>
    <x v="8"/>
    <x v="8"/>
    <n v="404"/>
    <x v="3"/>
    <s v="Text"/>
  </r>
  <r>
    <x v="9"/>
    <x v="9"/>
    <n v="47"/>
    <x v="3"/>
    <s v="Image"/>
  </r>
  <r>
    <x v="10"/>
    <x v="10"/>
    <n v="497"/>
    <x v="2"/>
    <s v="Story"/>
  </r>
  <r>
    <x v="11"/>
    <x v="11"/>
    <n v="377"/>
    <x v="3"/>
    <s v="Reel"/>
  </r>
  <r>
    <x v="12"/>
    <x v="12"/>
    <n v="231"/>
    <x v="1"/>
    <s v="Carousel"/>
  </r>
  <r>
    <x v="13"/>
    <x v="13"/>
    <n v="131"/>
    <x v="3"/>
    <s v="Story"/>
  </r>
  <r>
    <x v="14"/>
    <x v="14"/>
    <n v="128"/>
    <x v="3"/>
    <s v="Video"/>
  </r>
  <r>
    <x v="15"/>
    <x v="15"/>
    <n v="360"/>
    <x v="3"/>
    <s v="Text"/>
  </r>
  <r>
    <x v="16"/>
    <x v="16"/>
    <n v="70"/>
    <x v="3"/>
    <s v="Text"/>
  </r>
  <r>
    <x v="17"/>
    <x v="17"/>
    <n v="325"/>
    <x v="2"/>
    <s v="Reel"/>
  </r>
  <r>
    <x v="18"/>
    <x v="18"/>
    <n v="22"/>
    <x v="2"/>
    <s v="Video"/>
  </r>
  <r>
    <x v="1"/>
    <x v="19"/>
    <n v="373"/>
    <x v="2"/>
    <s v="Carousel"/>
  </r>
  <r>
    <x v="19"/>
    <x v="20"/>
    <n v="128"/>
    <x v="2"/>
    <s v="Reel"/>
  </r>
  <r>
    <x v="20"/>
    <x v="21"/>
    <n v="260"/>
    <x v="3"/>
    <s v="Text"/>
  </r>
  <r>
    <x v="21"/>
    <x v="22"/>
    <n v="316"/>
    <x v="3"/>
    <s v="Video"/>
  </r>
  <r>
    <x v="22"/>
    <x v="23"/>
    <n v="131"/>
    <x v="3"/>
    <s v="Video"/>
  </r>
  <r>
    <x v="23"/>
    <x v="24"/>
    <n v="197"/>
    <x v="0"/>
    <s v="Carousel"/>
  </r>
  <r>
    <x v="24"/>
    <x v="25"/>
    <n v="358"/>
    <x v="1"/>
    <s v="Reel"/>
  </r>
  <r>
    <x v="25"/>
    <x v="26"/>
    <n v="104"/>
    <x v="1"/>
    <s v="Text"/>
  </r>
  <r>
    <x v="26"/>
    <x v="27"/>
    <n v="123"/>
    <x v="2"/>
    <s v="Video"/>
  </r>
  <r>
    <x v="27"/>
    <x v="28"/>
    <n v="37"/>
    <x v="2"/>
    <s v="Carousel"/>
  </r>
  <r>
    <x v="28"/>
    <x v="29"/>
    <n v="78"/>
    <x v="2"/>
    <s v="Video"/>
  </r>
  <r>
    <x v="29"/>
    <x v="30"/>
    <n v="275"/>
    <x v="2"/>
    <s v="Text"/>
  </r>
  <r>
    <x v="30"/>
    <x v="31"/>
    <n v="321"/>
    <x v="0"/>
    <s v="Carousel"/>
  </r>
  <r>
    <x v="31"/>
    <x v="32"/>
    <n v="351"/>
    <x v="3"/>
    <s v="Image"/>
  </r>
  <r>
    <x v="32"/>
    <x v="33"/>
    <n v="357"/>
    <x v="3"/>
    <s v="Text"/>
  </r>
  <r>
    <x v="33"/>
    <x v="34"/>
    <n v="239"/>
    <x v="2"/>
    <s v="Video"/>
  </r>
  <r>
    <x v="34"/>
    <x v="35"/>
    <n v="383"/>
    <x v="2"/>
    <s v="Story"/>
  </r>
  <r>
    <x v="35"/>
    <x v="36"/>
    <n v="350"/>
    <x v="3"/>
    <s v="Carousel"/>
  </r>
  <r>
    <x v="36"/>
    <x v="37"/>
    <n v="291"/>
    <x v="1"/>
    <s v="Reel"/>
  </r>
  <r>
    <x v="37"/>
    <x v="38"/>
    <n v="177"/>
    <x v="3"/>
    <s v="Image"/>
  </r>
  <r>
    <x v="38"/>
    <x v="39"/>
    <n v="415"/>
    <x v="0"/>
    <s v="Image"/>
  </r>
  <r>
    <x v="39"/>
    <x v="38"/>
    <n v="428"/>
    <x v="2"/>
    <s v="Reel"/>
  </r>
  <r>
    <x v="40"/>
    <x v="40"/>
    <n v="333"/>
    <x v="1"/>
    <s v="Reel"/>
  </r>
  <r>
    <x v="41"/>
    <x v="41"/>
    <n v="15"/>
    <x v="2"/>
    <s v="Carousel"/>
  </r>
  <r>
    <x v="42"/>
    <x v="42"/>
    <n v="344"/>
    <x v="0"/>
    <s v="Image"/>
  </r>
  <r>
    <x v="43"/>
    <x v="43"/>
    <n v="327"/>
    <x v="3"/>
    <s v="Video"/>
  </r>
  <r>
    <x v="44"/>
    <x v="44"/>
    <n v="212"/>
    <x v="0"/>
    <s v="Video"/>
  </r>
  <r>
    <x v="45"/>
    <x v="45"/>
    <n v="153"/>
    <x v="0"/>
    <s v="Carousel"/>
  </r>
  <r>
    <x v="46"/>
    <x v="46"/>
    <n v="478"/>
    <x v="0"/>
    <s v="Story"/>
  </r>
  <r>
    <x v="47"/>
    <x v="47"/>
    <n v="274"/>
    <x v="0"/>
    <s v="Story"/>
  </r>
  <r>
    <x v="48"/>
    <x v="48"/>
    <n v="90"/>
    <x v="1"/>
    <s v="Story"/>
  </r>
  <r>
    <x v="49"/>
    <x v="49"/>
    <n v="239"/>
    <x v="3"/>
    <s v="Carousel"/>
  </r>
  <r>
    <x v="50"/>
    <x v="50"/>
    <n v="350"/>
    <x v="3"/>
    <s v="Image"/>
  </r>
  <r>
    <x v="51"/>
    <x v="51"/>
    <n v="43"/>
    <x v="1"/>
    <s v="Carousel"/>
  </r>
  <r>
    <x v="52"/>
    <x v="52"/>
    <n v="472"/>
    <x v="1"/>
    <s v="Carousel"/>
  </r>
  <r>
    <x v="53"/>
    <x v="53"/>
    <n v="7"/>
    <x v="3"/>
    <s v="Image"/>
  </r>
  <r>
    <x v="54"/>
    <x v="54"/>
    <n v="367"/>
    <x v="3"/>
    <s v="Carousel"/>
  </r>
  <r>
    <x v="55"/>
    <x v="55"/>
    <n v="295"/>
    <x v="0"/>
    <s v="Video"/>
  </r>
  <r>
    <x v="56"/>
    <x v="56"/>
    <n v="19"/>
    <x v="2"/>
    <s v="Reel"/>
  </r>
  <r>
    <x v="57"/>
    <x v="57"/>
    <n v="387"/>
    <x v="2"/>
    <s v="Text"/>
  </r>
  <r>
    <x v="58"/>
    <x v="58"/>
    <n v="63"/>
    <x v="2"/>
    <s v="Video"/>
  </r>
  <r>
    <x v="59"/>
    <x v="59"/>
    <n v="409"/>
    <x v="0"/>
    <s v="Video"/>
  </r>
  <r>
    <x v="60"/>
    <x v="60"/>
    <n v="379"/>
    <x v="0"/>
    <s v="Carousel"/>
  </r>
  <r>
    <x v="61"/>
    <x v="61"/>
    <n v="13"/>
    <x v="0"/>
    <s v="Carousel"/>
  </r>
  <r>
    <x v="62"/>
    <x v="62"/>
    <n v="416"/>
    <x v="3"/>
    <s v="Image"/>
  </r>
  <r>
    <x v="63"/>
    <x v="63"/>
    <n v="99"/>
    <x v="2"/>
    <s v="Story"/>
  </r>
  <r>
    <x v="26"/>
    <x v="64"/>
    <n v="280"/>
    <x v="0"/>
    <s v="Carousel"/>
  </r>
  <r>
    <x v="64"/>
    <x v="65"/>
    <n v="127"/>
    <x v="3"/>
    <s v="Carousel"/>
  </r>
  <r>
    <x v="65"/>
    <x v="66"/>
    <n v="288"/>
    <x v="2"/>
    <s v="Story"/>
  </r>
  <r>
    <x v="66"/>
    <x v="67"/>
    <n v="496"/>
    <x v="0"/>
    <s v="Text"/>
  </r>
  <r>
    <x v="67"/>
    <x v="68"/>
    <n v="400"/>
    <x v="3"/>
    <s v="Video"/>
  </r>
  <r>
    <x v="68"/>
    <x v="69"/>
    <n v="205"/>
    <x v="1"/>
    <s v="Carousel"/>
  </r>
  <r>
    <x v="69"/>
    <x v="70"/>
    <n v="141"/>
    <x v="1"/>
    <s v="Reel"/>
  </r>
  <r>
    <x v="70"/>
    <x v="71"/>
    <n v="486"/>
    <x v="3"/>
    <s v="Story"/>
  </r>
  <r>
    <x v="71"/>
    <x v="72"/>
    <n v="174"/>
    <x v="1"/>
    <s v="Reel"/>
  </r>
  <r>
    <x v="72"/>
    <x v="73"/>
    <n v="37"/>
    <x v="2"/>
    <s v="Reel"/>
  </r>
  <r>
    <x v="73"/>
    <x v="74"/>
    <n v="18"/>
    <x v="0"/>
    <s v="Story"/>
  </r>
  <r>
    <x v="74"/>
    <x v="75"/>
    <n v="420"/>
    <x v="3"/>
    <s v="Story"/>
  </r>
  <r>
    <x v="75"/>
    <x v="76"/>
    <n v="288"/>
    <x v="0"/>
    <s v="Image"/>
  </r>
  <r>
    <x v="76"/>
    <x v="77"/>
    <n v="329"/>
    <x v="2"/>
    <s v="Carousel"/>
  </r>
  <r>
    <x v="77"/>
    <x v="78"/>
    <n v="103"/>
    <x v="2"/>
    <s v="Story"/>
  </r>
  <r>
    <x v="78"/>
    <x v="79"/>
    <n v="41"/>
    <x v="2"/>
    <s v="Story"/>
  </r>
  <r>
    <x v="79"/>
    <x v="80"/>
    <n v="428"/>
    <x v="2"/>
    <s v="Image"/>
  </r>
  <r>
    <x v="80"/>
    <x v="81"/>
    <n v="21"/>
    <x v="1"/>
    <s v="Video"/>
  </r>
  <r>
    <x v="81"/>
    <x v="82"/>
    <n v="342"/>
    <x v="3"/>
    <s v="Image"/>
  </r>
  <r>
    <x v="82"/>
    <x v="83"/>
    <n v="55"/>
    <x v="2"/>
    <s v="Image"/>
  </r>
  <r>
    <x v="83"/>
    <x v="84"/>
    <n v="85"/>
    <x v="1"/>
    <s v="Text"/>
  </r>
  <r>
    <x v="84"/>
    <x v="85"/>
    <n v="496"/>
    <x v="0"/>
    <s v="Video"/>
  </r>
  <r>
    <x v="85"/>
    <x v="86"/>
    <n v="430"/>
    <x v="3"/>
    <s v="Story"/>
  </r>
  <r>
    <x v="86"/>
    <x v="87"/>
    <n v="152"/>
    <x v="0"/>
    <s v="Image"/>
  </r>
  <r>
    <x v="87"/>
    <x v="88"/>
    <n v="101"/>
    <x v="2"/>
    <s v="Image"/>
  </r>
  <r>
    <x v="88"/>
    <x v="89"/>
    <n v="357"/>
    <x v="3"/>
    <s v="Image"/>
  </r>
  <r>
    <x v="89"/>
    <x v="90"/>
    <n v="401"/>
    <x v="0"/>
    <s v="Story"/>
  </r>
  <r>
    <x v="90"/>
    <x v="91"/>
    <n v="26"/>
    <x v="2"/>
    <s v="Video"/>
  </r>
  <r>
    <x v="91"/>
    <x v="92"/>
    <n v="170"/>
    <x v="2"/>
    <s v="Image"/>
  </r>
  <r>
    <x v="92"/>
    <x v="93"/>
    <n v="160"/>
    <x v="2"/>
    <s v="Text"/>
  </r>
  <r>
    <x v="93"/>
    <x v="94"/>
    <n v="444"/>
    <x v="0"/>
    <s v="Image"/>
  </r>
  <r>
    <x v="94"/>
    <x v="95"/>
    <n v="135"/>
    <x v="2"/>
    <s v="Image"/>
  </r>
  <r>
    <x v="95"/>
    <x v="96"/>
    <n v="486"/>
    <x v="0"/>
    <s v="Story"/>
  </r>
  <r>
    <x v="96"/>
    <x v="97"/>
    <n v="86"/>
    <x v="1"/>
    <s v="Carousel"/>
  </r>
  <r>
    <x v="97"/>
    <x v="98"/>
    <n v="424"/>
    <x v="1"/>
    <s v="Video"/>
  </r>
  <r>
    <x v="98"/>
    <x v="59"/>
    <n v="143"/>
    <x v="1"/>
    <s v="Video"/>
  </r>
  <r>
    <x v="99"/>
    <x v="99"/>
    <n v="162"/>
    <x v="0"/>
    <s v="Reel"/>
  </r>
  <r>
    <x v="100"/>
    <x v="100"/>
    <n v="306"/>
    <x v="3"/>
    <s v="Image"/>
  </r>
  <r>
    <x v="101"/>
    <x v="65"/>
    <n v="286"/>
    <x v="1"/>
    <s v="Story"/>
  </r>
  <r>
    <x v="102"/>
    <x v="101"/>
    <n v="42"/>
    <x v="2"/>
    <s v="Carousel"/>
  </r>
  <r>
    <x v="103"/>
    <x v="102"/>
    <n v="499"/>
    <x v="2"/>
    <s v="Image"/>
  </r>
  <r>
    <x v="104"/>
    <x v="103"/>
    <n v="10"/>
    <x v="1"/>
    <s v="Image"/>
  </r>
  <r>
    <x v="105"/>
    <x v="104"/>
    <n v="347"/>
    <x v="0"/>
    <s v="Video"/>
  </r>
  <r>
    <x v="106"/>
    <x v="105"/>
    <n v="413"/>
    <x v="0"/>
    <s v="Story"/>
  </r>
  <r>
    <x v="107"/>
    <x v="106"/>
    <n v="482"/>
    <x v="2"/>
    <s v="Reel"/>
  </r>
  <r>
    <x v="108"/>
    <x v="107"/>
    <n v="285"/>
    <x v="1"/>
    <s v="Image"/>
  </r>
  <r>
    <x v="109"/>
    <x v="108"/>
    <n v="238"/>
    <x v="0"/>
    <s v="Story"/>
  </r>
  <r>
    <x v="110"/>
    <x v="109"/>
    <n v="369"/>
    <x v="0"/>
    <s v="Carousel"/>
  </r>
  <r>
    <x v="111"/>
    <x v="110"/>
    <n v="488"/>
    <x v="0"/>
    <s v="Story"/>
  </r>
  <r>
    <x v="112"/>
    <x v="111"/>
    <n v="44"/>
    <x v="0"/>
    <s v="Image"/>
  </r>
  <r>
    <x v="113"/>
    <x v="112"/>
    <n v="458"/>
    <x v="1"/>
    <s v="Reel"/>
  </r>
  <r>
    <x v="21"/>
    <x v="113"/>
    <n v="405"/>
    <x v="0"/>
    <s v="Image"/>
  </r>
  <r>
    <x v="114"/>
    <x v="114"/>
    <n v="207"/>
    <x v="3"/>
    <s v="Image"/>
  </r>
  <r>
    <x v="115"/>
    <x v="115"/>
    <n v="478"/>
    <x v="2"/>
    <s v="Reel"/>
  </r>
  <r>
    <x v="116"/>
    <x v="116"/>
    <n v="301"/>
    <x v="3"/>
    <s v="Story"/>
  </r>
  <r>
    <x v="102"/>
    <x v="117"/>
    <n v="412"/>
    <x v="2"/>
    <s v="Story"/>
  </r>
  <r>
    <x v="117"/>
    <x v="118"/>
    <n v="123"/>
    <x v="2"/>
    <s v="Text"/>
  </r>
  <r>
    <x v="118"/>
    <x v="119"/>
    <n v="140"/>
    <x v="2"/>
    <s v="Story"/>
  </r>
  <r>
    <x v="119"/>
    <x v="96"/>
    <n v="225"/>
    <x v="1"/>
    <s v="Carousel"/>
  </r>
  <r>
    <x v="120"/>
    <x v="120"/>
    <n v="216"/>
    <x v="0"/>
    <s v="Carousel"/>
  </r>
  <r>
    <x v="121"/>
    <x v="121"/>
    <n v="241"/>
    <x v="2"/>
    <s v="Carousel"/>
  </r>
  <r>
    <x v="15"/>
    <x v="122"/>
    <n v="442"/>
    <x v="3"/>
    <s v="Reel"/>
  </r>
  <r>
    <x v="122"/>
    <x v="43"/>
    <n v="291"/>
    <x v="0"/>
    <s v="Image"/>
  </r>
  <r>
    <x v="123"/>
    <x v="123"/>
    <n v="393"/>
    <x v="0"/>
    <s v="Text"/>
  </r>
  <r>
    <x v="124"/>
    <x v="124"/>
    <n v="44"/>
    <x v="1"/>
    <s v="Reel"/>
  </r>
  <r>
    <x v="125"/>
    <x v="41"/>
    <n v="211"/>
    <x v="2"/>
    <s v="Reel"/>
  </r>
  <r>
    <x v="126"/>
    <x v="125"/>
    <n v="101"/>
    <x v="2"/>
    <s v="Story"/>
  </r>
  <r>
    <x v="127"/>
    <x v="126"/>
    <n v="71"/>
    <x v="3"/>
    <s v="Image"/>
  </r>
  <r>
    <x v="128"/>
    <x v="127"/>
    <n v="135"/>
    <x v="0"/>
    <s v="Reel"/>
  </r>
  <r>
    <x v="129"/>
    <x v="128"/>
    <n v="434"/>
    <x v="3"/>
    <s v="Text"/>
  </r>
  <r>
    <x v="130"/>
    <x v="129"/>
    <n v="444"/>
    <x v="2"/>
    <s v="Text"/>
  </r>
  <r>
    <x v="131"/>
    <x v="130"/>
    <n v="37"/>
    <x v="3"/>
    <s v="Video"/>
  </r>
  <r>
    <x v="132"/>
    <x v="21"/>
    <n v="243"/>
    <x v="0"/>
    <s v="Image"/>
  </r>
  <r>
    <x v="133"/>
    <x v="131"/>
    <n v="203"/>
    <x v="1"/>
    <s v="Text"/>
  </r>
  <r>
    <x v="134"/>
    <x v="132"/>
    <n v="485"/>
    <x v="3"/>
    <s v="Image"/>
  </r>
  <r>
    <x v="135"/>
    <x v="133"/>
    <n v="379"/>
    <x v="0"/>
    <s v="Image"/>
  </r>
  <r>
    <x v="136"/>
    <x v="134"/>
    <n v="386"/>
    <x v="1"/>
    <s v="Story"/>
  </r>
  <r>
    <x v="137"/>
    <x v="135"/>
    <n v="80"/>
    <x v="1"/>
    <s v="Carousel"/>
  </r>
  <r>
    <x v="138"/>
    <x v="136"/>
    <n v="452"/>
    <x v="1"/>
    <s v="Story"/>
  </r>
  <r>
    <x v="139"/>
    <x v="137"/>
    <n v="179"/>
    <x v="2"/>
    <s v="Carousel"/>
  </r>
  <r>
    <x v="140"/>
    <x v="68"/>
    <n v="142"/>
    <x v="1"/>
    <s v="Reel"/>
  </r>
  <r>
    <x v="141"/>
    <x v="138"/>
    <n v="266"/>
    <x v="2"/>
    <s v="Reel"/>
  </r>
  <r>
    <x v="142"/>
    <x v="139"/>
    <n v="327"/>
    <x v="2"/>
    <s v="Video"/>
  </r>
  <r>
    <x v="143"/>
    <x v="140"/>
    <n v="179"/>
    <x v="0"/>
    <s v="Video"/>
  </r>
  <r>
    <x v="144"/>
    <x v="141"/>
    <n v="325"/>
    <x v="1"/>
    <s v="Carousel"/>
  </r>
  <r>
    <x v="145"/>
    <x v="142"/>
    <n v="289"/>
    <x v="2"/>
    <s v="Image"/>
  </r>
  <r>
    <x v="146"/>
    <x v="143"/>
    <n v="270"/>
    <x v="3"/>
    <s v="Image"/>
  </r>
  <r>
    <x v="147"/>
    <x v="144"/>
    <n v="257"/>
    <x v="0"/>
    <s v="Video"/>
  </r>
  <r>
    <x v="148"/>
    <x v="145"/>
    <n v="287"/>
    <x v="2"/>
    <s v="Carousel"/>
  </r>
  <r>
    <x v="149"/>
    <x v="146"/>
    <n v="130"/>
    <x v="1"/>
    <s v="Image"/>
  </r>
  <r>
    <x v="150"/>
    <x v="147"/>
    <n v="482"/>
    <x v="3"/>
    <s v="Carousel"/>
  </r>
  <r>
    <x v="151"/>
    <x v="148"/>
    <n v="206"/>
    <x v="1"/>
    <s v="Story"/>
  </r>
  <r>
    <x v="152"/>
    <x v="149"/>
    <n v="423"/>
    <x v="2"/>
    <s v="Story"/>
  </r>
  <r>
    <x v="153"/>
    <x v="150"/>
    <n v="488"/>
    <x v="3"/>
    <s v="Story"/>
  </r>
  <r>
    <x v="154"/>
    <x v="151"/>
    <n v="484"/>
    <x v="0"/>
    <s v="Video"/>
  </r>
  <r>
    <x v="155"/>
    <x v="152"/>
    <n v="366"/>
    <x v="0"/>
    <s v="Text"/>
  </r>
  <r>
    <x v="156"/>
    <x v="153"/>
    <n v="164"/>
    <x v="3"/>
    <s v="Story"/>
  </r>
  <r>
    <x v="157"/>
    <x v="154"/>
    <n v="323"/>
    <x v="2"/>
    <s v="Image"/>
  </r>
  <r>
    <x v="158"/>
    <x v="155"/>
    <n v="156"/>
    <x v="1"/>
    <s v="Text"/>
  </r>
  <r>
    <x v="159"/>
    <x v="156"/>
    <n v="211"/>
    <x v="0"/>
    <s v="Text"/>
  </r>
  <r>
    <x v="160"/>
    <x v="157"/>
    <n v="306"/>
    <x v="0"/>
    <s v="Reel"/>
  </r>
  <r>
    <x v="161"/>
    <x v="158"/>
    <n v="56"/>
    <x v="2"/>
    <s v="Text"/>
  </r>
  <r>
    <x v="162"/>
    <x v="159"/>
    <n v="54"/>
    <x v="3"/>
    <s v="Text"/>
  </r>
  <r>
    <x v="163"/>
    <x v="160"/>
    <n v="200"/>
    <x v="1"/>
    <s v="Video"/>
  </r>
  <r>
    <x v="164"/>
    <x v="161"/>
    <n v="493"/>
    <x v="0"/>
    <s v="Text"/>
  </r>
  <r>
    <x v="165"/>
    <x v="162"/>
    <n v="332"/>
    <x v="1"/>
    <s v="Video"/>
  </r>
  <r>
    <x v="166"/>
    <x v="163"/>
    <n v="174"/>
    <x v="3"/>
    <s v="Carousel"/>
  </r>
  <r>
    <x v="167"/>
    <x v="36"/>
    <n v="35"/>
    <x v="0"/>
    <s v="Video"/>
  </r>
  <r>
    <x v="168"/>
    <x v="164"/>
    <n v="253"/>
    <x v="3"/>
    <s v="Text"/>
  </r>
  <r>
    <x v="169"/>
    <x v="42"/>
    <n v="183"/>
    <x v="2"/>
    <s v="Reel"/>
  </r>
  <r>
    <x v="170"/>
    <x v="165"/>
    <n v="279"/>
    <x v="3"/>
    <s v="Video"/>
  </r>
  <r>
    <x v="171"/>
    <x v="166"/>
    <n v="171"/>
    <x v="2"/>
    <s v="Carousel"/>
  </r>
  <r>
    <x v="172"/>
    <x v="167"/>
    <n v="136"/>
    <x v="2"/>
    <s v="Video"/>
  </r>
  <r>
    <x v="173"/>
    <x v="168"/>
    <n v="395"/>
    <x v="3"/>
    <s v="Carousel"/>
  </r>
  <r>
    <x v="174"/>
    <x v="169"/>
    <n v="290"/>
    <x v="1"/>
    <s v="Text"/>
  </r>
  <r>
    <x v="175"/>
    <x v="170"/>
    <n v="470"/>
    <x v="1"/>
    <s v="Image"/>
  </r>
  <r>
    <x v="176"/>
    <x v="171"/>
    <n v="403"/>
    <x v="3"/>
    <s v="Image"/>
  </r>
  <r>
    <x v="177"/>
    <x v="172"/>
    <n v="393"/>
    <x v="2"/>
    <s v="Story"/>
  </r>
  <r>
    <x v="178"/>
    <x v="88"/>
    <n v="202"/>
    <x v="0"/>
    <s v="Image"/>
  </r>
  <r>
    <x v="179"/>
    <x v="173"/>
    <n v="157"/>
    <x v="2"/>
    <s v="Carousel"/>
  </r>
  <r>
    <x v="180"/>
    <x v="174"/>
    <n v="392"/>
    <x v="3"/>
    <s v="Carousel"/>
  </r>
  <r>
    <x v="181"/>
    <x v="175"/>
    <n v="150"/>
    <x v="0"/>
    <s v="Reel"/>
  </r>
  <r>
    <x v="182"/>
    <x v="176"/>
    <n v="215"/>
    <x v="1"/>
    <s v="Reel"/>
  </r>
  <r>
    <x v="183"/>
    <x v="177"/>
    <n v="500"/>
    <x v="3"/>
    <s v="Reel"/>
  </r>
  <r>
    <x v="184"/>
    <x v="178"/>
    <n v="19"/>
    <x v="1"/>
    <s v="Text"/>
  </r>
  <r>
    <x v="185"/>
    <x v="179"/>
    <n v="376"/>
    <x v="1"/>
    <s v="Story"/>
  </r>
  <r>
    <x v="186"/>
    <x v="180"/>
    <n v="394"/>
    <x v="2"/>
    <s v="Video"/>
  </r>
  <r>
    <x v="187"/>
    <x v="181"/>
    <n v="129"/>
    <x v="0"/>
    <s v="Image"/>
  </r>
  <r>
    <x v="188"/>
    <x v="96"/>
    <n v="7"/>
    <x v="1"/>
    <s v="Story"/>
  </r>
  <r>
    <x v="189"/>
    <x v="180"/>
    <n v="246"/>
    <x v="2"/>
    <s v="Carousel"/>
  </r>
  <r>
    <x v="190"/>
    <x v="182"/>
    <n v="72"/>
    <x v="2"/>
    <s v="Text"/>
  </r>
  <r>
    <x v="191"/>
    <x v="183"/>
    <n v="82"/>
    <x v="0"/>
    <s v="Reel"/>
  </r>
  <r>
    <x v="192"/>
    <x v="184"/>
    <n v="450"/>
    <x v="0"/>
    <s v="Image"/>
  </r>
  <r>
    <x v="193"/>
    <x v="76"/>
    <n v="171"/>
    <x v="1"/>
    <s v="Carousel"/>
  </r>
  <r>
    <x v="194"/>
    <x v="185"/>
    <n v="310"/>
    <x v="3"/>
    <s v="Reel"/>
  </r>
  <r>
    <x v="195"/>
    <x v="7"/>
    <n v="244"/>
    <x v="0"/>
    <s v="Reel"/>
  </r>
  <r>
    <x v="196"/>
    <x v="186"/>
    <n v="335"/>
    <x v="3"/>
    <s v="Image"/>
  </r>
  <r>
    <x v="197"/>
    <x v="187"/>
    <n v="38"/>
    <x v="2"/>
    <s v="Carousel"/>
  </r>
  <r>
    <x v="198"/>
    <x v="188"/>
    <n v="432"/>
    <x v="2"/>
    <s v="Carousel"/>
  </r>
  <r>
    <x v="199"/>
    <x v="189"/>
    <n v="268"/>
    <x v="0"/>
    <s v="Video"/>
  </r>
  <r>
    <x v="200"/>
    <x v="190"/>
    <n v="458"/>
    <x v="0"/>
    <s v="Text"/>
  </r>
  <r>
    <x v="201"/>
    <x v="191"/>
    <n v="281"/>
    <x v="0"/>
    <s v="Carousel"/>
  </r>
  <r>
    <x v="202"/>
    <x v="192"/>
    <n v="403"/>
    <x v="1"/>
    <s v="Video"/>
  </r>
  <r>
    <x v="203"/>
    <x v="193"/>
    <n v="297"/>
    <x v="0"/>
    <s v="Video"/>
  </r>
  <r>
    <x v="204"/>
    <x v="194"/>
    <n v="398"/>
    <x v="1"/>
    <s v="Image"/>
  </r>
  <r>
    <x v="153"/>
    <x v="101"/>
    <n v="212"/>
    <x v="0"/>
    <s v="Carousel"/>
  </r>
  <r>
    <x v="205"/>
    <x v="195"/>
    <n v="19"/>
    <x v="1"/>
    <s v="Video"/>
  </r>
  <r>
    <x v="206"/>
    <x v="196"/>
    <n v="443"/>
    <x v="3"/>
    <s v="Carousel"/>
  </r>
  <r>
    <x v="207"/>
    <x v="197"/>
    <n v="315"/>
    <x v="2"/>
    <s v="Image"/>
  </r>
  <r>
    <x v="208"/>
    <x v="36"/>
    <n v="176"/>
    <x v="3"/>
    <s v="Image"/>
  </r>
  <r>
    <x v="209"/>
    <x v="80"/>
    <n v="163"/>
    <x v="1"/>
    <s v="Story"/>
  </r>
  <r>
    <x v="210"/>
    <x v="198"/>
    <n v="230"/>
    <x v="3"/>
    <s v="Image"/>
  </r>
  <r>
    <x v="211"/>
    <x v="199"/>
    <n v="490"/>
    <x v="3"/>
    <s v="Carousel"/>
  </r>
  <r>
    <x v="212"/>
    <x v="200"/>
    <n v="174"/>
    <x v="0"/>
    <s v="Reel"/>
  </r>
  <r>
    <x v="213"/>
    <x v="201"/>
    <n v="85"/>
    <x v="2"/>
    <s v="Story"/>
  </r>
  <r>
    <x v="214"/>
    <x v="202"/>
    <n v="420"/>
    <x v="3"/>
    <s v="Video"/>
  </r>
  <r>
    <x v="215"/>
    <x v="188"/>
    <n v="363"/>
    <x v="3"/>
    <s v="Reel"/>
  </r>
  <r>
    <x v="216"/>
    <x v="203"/>
    <n v="118"/>
    <x v="0"/>
    <s v="Image"/>
  </r>
  <r>
    <x v="217"/>
    <x v="204"/>
    <n v="156"/>
    <x v="3"/>
    <s v="Image"/>
  </r>
  <r>
    <x v="218"/>
    <x v="205"/>
    <n v="32"/>
    <x v="0"/>
    <s v="Carousel"/>
  </r>
  <r>
    <x v="219"/>
    <x v="206"/>
    <n v="318"/>
    <x v="2"/>
    <s v="Carousel"/>
  </r>
  <r>
    <x v="220"/>
    <x v="207"/>
    <n v="130"/>
    <x v="2"/>
    <s v="Text"/>
  </r>
  <r>
    <x v="221"/>
    <x v="68"/>
    <n v="320"/>
    <x v="2"/>
    <s v="Story"/>
  </r>
  <r>
    <x v="222"/>
    <x v="166"/>
    <n v="289"/>
    <x v="2"/>
    <s v="Carousel"/>
  </r>
  <r>
    <x v="223"/>
    <x v="107"/>
    <n v="295"/>
    <x v="3"/>
    <s v="Reel"/>
  </r>
  <r>
    <x v="224"/>
    <x v="208"/>
    <n v="33"/>
    <x v="2"/>
    <s v="Text"/>
  </r>
  <r>
    <x v="225"/>
    <x v="209"/>
    <n v="230"/>
    <x v="0"/>
    <s v="Story"/>
  </r>
  <r>
    <x v="226"/>
    <x v="210"/>
    <n v="134"/>
    <x v="3"/>
    <s v="Image"/>
  </r>
  <r>
    <x v="227"/>
    <x v="211"/>
    <n v="99"/>
    <x v="3"/>
    <s v="Text"/>
  </r>
  <r>
    <x v="228"/>
    <x v="147"/>
    <n v="376"/>
    <x v="3"/>
    <s v="Image"/>
  </r>
  <r>
    <x v="229"/>
    <x v="212"/>
    <n v="351"/>
    <x v="3"/>
    <s v="Text"/>
  </r>
  <r>
    <x v="230"/>
    <x v="213"/>
    <n v="129"/>
    <x v="2"/>
    <s v="Story"/>
  </r>
  <r>
    <x v="231"/>
    <x v="32"/>
    <n v="362"/>
    <x v="0"/>
    <s v="Text"/>
  </r>
  <r>
    <x v="232"/>
    <x v="214"/>
    <n v="118"/>
    <x v="1"/>
    <s v="Text"/>
  </r>
  <r>
    <x v="233"/>
    <x v="215"/>
    <n v="322"/>
    <x v="0"/>
    <s v="Carousel"/>
  </r>
  <r>
    <x v="234"/>
    <x v="216"/>
    <n v="172"/>
    <x v="3"/>
    <s v="Story"/>
  </r>
  <r>
    <x v="235"/>
    <x v="217"/>
    <n v="340"/>
    <x v="3"/>
    <s v="Reel"/>
  </r>
  <r>
    <x v="236"/>
    <x v="218"/>
    <n v="375"/>
    <x v="0"/>
    <s v="Image"/>
  </r>
  <r>
    <x v="237"/>
    <x v="219"/>
    <n v="433"/>
    <x v="1"/>
    <s v="Video"/>
  </r>
  <r>
    <x v="238"/>
    <x v="220"/>
    <n v="99"/>
    <x v="3"/>
    <s v="Reel"/>
  </r>
  <r>
    <x v="239"/>
    <x v="221"/>
    <n v="434"/>
    <x v="3"/>
    <s v="Image"/>
  </r>
  <r>
    <x v="240"/>
    <x v="222"/>
    <n v="8"/>
    <x v="3"/>
    <s v="Reel"/>
  </r>
  <r>
    <x v="241"/>
    <x v="66"/>
    <n v="153"/>
    <x v="3"/>
    <s v="Story"/>
  </r>
  <r>
    <x v="242"/>
    <x v="223"/>
    <n v="402"/>
    <x v="0"/>
    <s v="Image"/>
  </r>
  <r>
    <x v="243"/>
    <x v="219"/>
    <n v="274"/>
    <x v="3"/>
    <s v="Reel"/>
  </r>
  <r>
    <x v="244"/>
    <x v="224"/>
    <n v="387"/>
    <x v="2"/>
    <s v="Carousel"/>
  </r>
  <r>
    <x v="245"/>
    <x v="192"/>
    <n v="69"/>
    <x v="3"/>
    <s v="Carousel"/>
  </r>
  <r>
    <x v="246"/>
    <x v="225"/>
    <n v="228"/>
    <x v="0"/>
    <s v="Reel"/>
  </r>
  <r>
    <x v="247"/>
    <x v="127"/>
    <n v="64"/>
    <x v="0"/>
    <s v="Image"/>
  </r>
  <r>
    <x v="248"/>
    <x v="226"/>
    <n v="238"/>
    <x v="3"/>
    <s v="Story"/>
  </r>
  <r>
    <x v="249"/>
    <x v="227"/>
    <n v="204"/>
    <x v="1"/>
    <s v="Carousel"/>
  </r>
  <r>
    <x v="250"/>
    <x v="189"/>
    <n v="164"/>
    <x v="3"/>
    <s v="Image"/>
  </r>
  <r>
    <x v="251"/>
    <x v="228"/>
    <n v="75"/>
    <x v="2"/>
    <s v="Story"/>
  </r>
  <r>
    <x v="252"/>
    <x v="150"/>
    <n v="149"/>
    <x v="3"/>
    <s v="Text"/>
  </r>
  <r>
    <x v="253"/>
    <x v="96"/>
    <n v="219"/>
    <x v="2"/>
    <s v="Story"/>
  </r>
  <r>
    <x v="254"/>
    <x v="229"/>
    <n v="340"/>
    <x v="2"/>
    <s v="Image"/>
  </r>
  <r>
    <x v="255"/>
    <x v="230"/>
    <n v="36"/>
    <x v="1"/>
    <s v="Image"/>
  </r>
  <r>
    <x v="256"/>
    <x v="231"/>
    <n v="205"/>
    <x v="2"/>
    <s v="Reel"/>
  </r>
  <r>
    <x v="257"/>
    <x v="232"/>
    <n v="93"/>
    <x v="0"/>
    <s v="Image"/>
  </r>
  <r>
    <x v="258"/>
    <x v="233"/>
    <n v="225"/>
    <x v="0"/>
    <s v="Carousel"/>
  </r>
  <r>
    <x v="259"/>
    <x v="20"/>
    <n v="240"/>
    <x v="3"/>
    <s v="Story"/>
  </r>
  <r>
    <x v="260"/>
    <x v="234"/>
    <n v="31"/>
    <x v="0"/>
    <s v="Reel"/>
  </r>
  <r>
    <x v="261"/>
    <x v="235"/>
    <n v="300"/>
    <x v="2"/>
    <s v="Reel"/>
  </r>
  <r>
    <x v="262"/>
    <x v="174"/>
    <n v="441"/>
    <x v="2"/>
    <s v="Video"/>
  </r>
  <r>
    <x v="263"/>
    <x v="236"/>
    <n v="39"/>
    <x v="1"/>
    <s v="Reel"/>
  </r>
  <r>
    <x v="264"/>
    <x v="136"/>
    <n v="111"/>
    <x v="2"/>
    <s v="Video"/>
  </r>
  <r>
    <x v="265"/>
    <x v="237"/>
    <n v="266"/>
    <x v="2"/>
    <s v="Text"/>
  </r>
  <r>
    <x v="266"/>
    <x v="238"/>
    <n v="46"/>
    <x v="1"/>
    <s v="Story"/>
  </r>
  <r>
    <x v="267"/>
    <x v="239"/>
    <n v="152"/>
    <x v="0"/>
    <s v="Carousel"/>
  </r>
  <r>
    <x v="219"/>
    <x v="240"/>
    <n v="345"/>
    <x v="3"/>
    <s v="Reel"/>
  </r>
  <r>
    <x v="268"/>
    <x v="26"/>
    <n v="131"/>
    <x v="0"/>
    <s v="Carousel"/>
  </r>
  <r>
    <x v="269"/>
    <x v="241"/>
    <n v="298"/>
    <x v="3"/>
    <s v="Image"/>
  </r>
  <r>
    <x v="270"/>
    <x v="242"/>
    <n v="169"/>
    <x v="0"/>
    <s v="Text"/>
  </r>
  <r>
    <x v="271"/>
    <x v="243"/>
    <n v="129"/>
    <x v="1"/>
    <s v="Image"/>
  </r>
  <r>
    <x v="272"/>
    <x v="221"/>
    <n v="385"/>
    <x v="1"/>
    <s v="Video"/>
  </r>
  <r>
    <x v="273"/>
    <x v="244"/>
    <n v="341"/>
    <x v="1"/>
    <s v="Image"/>
  </r>
  <r>
    <x v="274"/>
    <x v="245"/>
    <n v="168"/>
    <x v="2"/>
    <s v="Video"/>
  </r>
  <r>
    <x v="275"/>
    <x v="246"/>
    <n v="57"/>
    <x v="0"/>
    <s v="Reel"/>
  </r>
  <r>
    <x v="276"/>
    <x v="217"/>
    <n v="352"/>
    <x v="0"/>
    <s v="Text"/>
  </r>
  <r>
    <x v="277"/>
    <x v="247"/>
    <n v="77"/>
    <x v="1"/>
    <s v="Text"/>
  </r>
  <r>
    <x v="278"/>
    <x v="248"/>
    <n v="229"/>
    <x v="1"/>
    <s v="Video"/>
  </r>
  <r>
    <x v="279"/>
    <x v="249"/>
    <n v="324"/>
    <x v="2"/>
    <s v="Reel"/>
  </r>
  <r>
    <x v="280"/>
    <x v="250"/>
    <n v="380"/>
    <x v="1"/>
    <s v="Carousel"/>
  </r>
  <r>
    <x v="281"/>
    <x v="251"/>
    <n v="430"/>
    <x v="3"/>
    <s v="Carousel"/>
  </r>
  <r>
    <x v="282"/>
    <x v="143"/>
    <n v="349"/>
    <x v="2"/>
    <s v="Carousel"/>
  </r>
  <r>
    <x v="283"/>
    <x v="252"/>
    <n v="225"/>
    <x v="3"/>
    <s v="Video"/>
  </r>
  <r>
    <x v="284"/>
    <x v="253"/>
    <n v="345"/>
    <x v="3"/>
    <s v="Text"/>
  </r>
  <r>
    <x v="285"/>
    <x v="254"/>
    <n v="241"/>
    <x v="3"/>
    <s v="Text"/>
  </r>
  <r>
    <x v="286"/>
    <x v="148"/>
    <n v="276"/>
    <x v="3"/>
    <s v="Carousel"/>
  </r>
  <r>
    <x v="287"/>
    <x v="248"/>
    <n v="287"/>
    <x v="0"/>
    <s v="Image"/>
  </r>
  <r>
    <x v="288"/>
    <x v="255"/>
    <n v="20"/>
    <x v="0"/>
    <s v="Video"/>
  </r>
  <r>
    <x v="289"/>
    <x v="256"/>
    <n v="117"/>
    <x v="0"/>
    <s v="Text"/>
  </r>
  <r>
    <x v="290"/>
    <x v="113"/>
    <n v="286"/>
    <x v="3"/>
    <s v="Image"/>
  </r>
  <r>
    <x v="291"/>
    <x v="257"/>
    <n v="117"/>
    <x v="3"/>
    <s v="Image"/>
  </r>
  <r>
    <x v="292"/>
    <x v="258"/>
    <n v="45"/>
    <x v="0"/>
    <s v="Carousel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x v="0"/>
    <x v="0"/>
    <n v="21675"/>
  </r>
  <r>
    <x v="0"/>
    <x v="1"/>
    <n v="64383"/>
  </r>
  <r>
    <x v="1"/>
    <x v="0"/>
    <n v="52307"/>
  </r>
  <r>
    <x v="2"/>
    <x v="2"/>
    <n v="18636"/>
  </r>
  <r>
    <x v="1"/>
    <x v="0"/>
    <n v="70701"/>
  </r>
  <r>
    <x v="3"/>
    <x v="3"/>
    <n v="23275"/>
  </r>
  <r>
    <x v="0"/>
    <x v="3"/>
    <n v="61660"/>
  </r>
  <r>
    <x v="1"/>
    <x v="4"/>
    <n v="42841"/>
  </r>
  <r>
    <x v="3"/>
    <x v="1"/>
    <n v="56343"/>
  </r>
  <r>
    <x v="3"/>
    <x v="4"/>
    <n v="71598"/>
  </r>
  <r>
    <x v="2"/>
    <x v="2"/>
    <n v="24675"/>
  </r>
  <r>
    <x v="3"/>
    <x v="0"/>
    <n v="22982"/>
  </r>
  <r>
    <x v="1"/>
    <x v="3"/>
    <n v="21282"/>
  </r>
  <r>
    <x v="3"/>
    <x v="2"/>
    <n v="33802"/>
  </r>
  <r>
    <x v="3"/>
    <x v="5"/>
    <n v="77167"/>
  </r>
  <r>
    <x v="3"/>
    <x v="1"/>
    <n v="55075"/>
  </r>
  <r>
    <x v="3"/>
    <x v="1"/>
    <n v="53082"/>
  </r>
  <r>
    <x v="2"/>
    <x v="0"/>
    <n v="35819"/>
  </r>
  <r>
    <x v="2"/>
    <x v="5"/>
    <n v="15865"/>
  </r>
  <r>
    <x v="2"/>
    <x v="3"/>
    <n v="76881"/>
  </r>
  <r>
    <x v="2"/>
    <x v="0"/>
    <n v="72396"/>
  </r>
  <r>
    <x v="3"/>
    <x v="1"/>
    <n v="24613"/>
  </r>
  <r>
    <x v="3"/>
    <x v="5"/>
    <n v="31736"/>
  </r>
  <r>
    <x v="3"/>
    <x v="5"/>
    <n v="66615"/>
  </r>
  <r>
    <x v="0"/>
    <x v="3"/>
    <n v="59182"/>
  </r>
  <r>
    <x v="1"/>
    <x v="0"/>
    <n v="41309"/>
  </r>
  <r>
    <x v="1"/>
    <x v="1"/>
    <n v="32244"/>
  </r>
  <r>
    <x v="2"/>
    <x v="5"/>
    <n v="6259"/>
  </r>
  <r>
    <x v="2"/>
    <x v="3"/>
    <n v="12264"/>
  </r>
  <r>
    <x v="2"/>
    <x v="5"/>
    <n v="54808"/>
  </r>
  <r>
    <x v="2"/>
    <x v="1"/>
    <n v="2701"/>
  </r>
  <r>
    <x v="0"/>
    <x v="3"/>
    <n v="12676"/>
  </r>
  <r>
    <x v="3"/>
    <x v="4"/>
    <n v="15954"/>
  </r>
  <r>
    <x v="3"/>
    <x v="1"/>
    <n v="28771"/>
  </r>
  <r>
    <x v="2"/>
    <x v="5"/>
    <n v="33310"/>
  </r>
  <r>
    <x v="2"/>
    <x v="2"/>
    <n v="67621"/>
  </r>
  <r>
    <x v="3"/>
    <x v="3"/>
    <n v="23518"/>
  </r>
  <r>
    <x v="1"/>
    <x v="0"/>
    <n v="27550"/>
  </r>
  <r>
    <x v="3"/>
    <x v="4"/>
    <n v="59627"/>
  </r>
  <r>
    <x v="0"/>
    <x v="4"/>
    <n v="37792"/>
  </r>
  <r>
    <x v="2"/>
    <x v="0"/>
    <n v="7377"/>
  </r>
  <r>
    <x v="1"/>
    <x v="0"/>
    <n v="11496"/>
  </r>
  <r>
    <x v="2"/>
    <x v="3"/>
    <n v="12206"/>
  </r>
  <r>
    <x v="0"/>
    <x v="4"/>
    <n v="34475"/>
  </r>
  <r>
    <x v="3"/>
    <x v="5"/>
    <n v="49816"/>
  </r>
  <r>
    <x v="0"/>
    <x v="5"/>
    <n v="8710"/>
  </r>
  <r>
    <x v="0"/>
    <x v="3"/>
    <n v="20792"/>
  </r>
  <r>
    <x v="0"/>
    <x v="2"/>
    <n v="36272"/>
  </r>
  <r>
    <x v="0"/>
    <x v="2"/>
    <n v="27361"/>
  </r>
  <r>
    <x v="1"/>
    <x v="2"/>
    <n v="21288"/>
  </r>
  <r>
    <x v="3"/>
    <x v="3"/>
    <n v="36938"/>
  </r>
  <r>
    <x v="3"/>
    <x v="4"/>
    <n v="9730"/>
  </r>
  <r>
    <x v="1"/>
    <x v="3"/>
    <n v="3144"/>
  </r>
  <r>
    <x v="1"/>
    <x v="3"/>
    <n v="18171"/>
  </r>
  <r>
    <x v="3"/>
    <x v="4"/>
    <n v="14049"/>
  </r>
  <r>
    <x v="3"/>
    <x v="3"/>
    <n v="28527"/>
  </r>
  <r>
    <x v="0"/>
    <x v="5"/>
    <n v="44739"/>
  </r>
  <r>
    <x v="2"/>
    <x v="0"/>
    <n v="410"/>
  </r>
  <r>
    <x v="2"/>
    <x v="1"/>
    <n v="30059"/>
  </r>
  <r>
    <x v="2"/>
    <x v="5"/>
    <n v="11580"/>
  </r>
  <r>
    <x v="0"/>
    <x v="5"/>
    <n v="43239"/>
  </r>
  <r>
    <x v="0"/>
    <x v="3"/>
    <n v="7"/>
  </r>
  <r>
    <x v="0"/>
    <x v="3"/>
    <n v="89591"/>
  </r>
  <r>
    <x v="3"/>
    <x v="4"/>
    <n v="42667"/>
  </r>
  <r>
    <x v="2"/>
    <x v="2"/>
    <n v="19987"/>
  </r>
  <r>
    <x v="0"/>
    <x v="3"/>
    <n v="2285"/>
  </r>
  <r>
    <x v="3"/>
    <x v="3"/>
    <n v="84691"/>
  </r>
  <r>
    <x v="2"/>
    <x v="2"/>
    <n v="15145"/>
  </r>
  <r>
    <x v="0"/>
    <x v="1"/>
    <n v="24916"/>
  </r>
  <r>
    <x v="3"/>
    <x v="5"/>
    <n v="2988"/>
  </r>
  <r>
    <x v="1"/>
    <x v="3"/>
    <n v="30360"/>
  </r>
  <r>
    <x v="1"/>
    <x v="0"/>
    <n v="5239"/>
  </r>
  <r>
    <x v="3"/>
    <x v="2"/>
    <n v="77798"/>
  </r>
  <r>
    <x v="1"/>
    <x v="0"/>
    <n v="16330"/>
  </r>
  <r>
    <x v="2"/>
    <x v="0"/>
    <n v="20998"/>
  </r>
  <r>
    <x v="0"/>
    <x v="2"/>
    <n v="14957"/>
  </r>
  <r>
    <x v="3"/>
    <x v="2"/>
    <n v="8538"/>
  </r>
  <r>
    <x v="0"/>
    <x v="4"/>
    <n v="18859"/>
  </r>
  <r>
    <x v="2"/>
    <x v="3"/>
    <n v="39404"/>
  </r>
  <r>
    <x v="2"/>
    <x v="2"/>
    <n v="39466"/>
  </r>
  <r>
    <x v="2"/>
    <x v="2"/>
    <n v="19262"/>
  </r>
  <r>
    <x v="2"/>
    <x v="4"/>
    <n v="13637"/>
  </r>
  <r>
    <x v="1"/>
    <x v="5"/>
    <n v="9609"/>
  </r>
  <r>
    <x v="3"/>
    <x v="4"/>
    <n v="34154"/>
  </r>
  <r>
    <x v="2"/>
    <x v="4"/>
    <n v="24847"/>
  </r>
  <r>
    <x v="1"/>
    <x v="1"/>
    <n v="58052"/>
  </r>
  <r>
    <x v="0"/>
    <x v="5"/>
    <n v="12701"/>
  </r>
  <r>
    <x v="3"/>
    <x v="2"/>
    <n v="4890"/>
  </r>
  <r>
    <x v="0"/>
    <x v="4"/>
    <n v="14800"/>
  </r>
  <r>
    <x v="2"/>
    <x v="4"/>
    <n v="68817"/>
  </r>
  <r>
    <x v="3"/>
    <x v="4"/>
    <n v="24615"/>
  </r>
  <r>
    <x v="0"/>
    <x v="2"/>
    <n v="37625"/>
  </r>
  <r>
    <x v="2"/>
    <x v="5"/>
    <n v="8396"/>
  </r>
  <r>
    <x v="2"/>
    <x v="4"/>
    <n v="17841"/>
  </r>
  <r>
    <x v="2"/>
    <x v="1"/>
    <n v="56890"/>
  </r>
  <r>
    <x v="0"/>
    <x v="4"/>
    <n v="19334"/>
  </r>
  <r>
    <x v="2"/>
    <x v="4"/>
    <n v="61333"/>
  </r>
  <r>
    <x v="0"/>
    <x v="2"/>
    <n v="24826"/>
  </r>
  <r>
    <x v="1"/>
    <x v="3"/>
    <n v="66634"/>
  </r>
  <r>
    <x v="1"/>
    <x v="5"/>
    <n v="24333"/>
  </r>
  <r>
    <x v="1"/>
    <x v="5"/>
    <n v="75008"/>
  </r>
  <r>
    <x v="0"/>
    <x v="0"/>
    <n v="5221"/>
  </r>
  <r>
    <x v="3"/>
    <x v="4"/>
    <n v="39588"/>
  </r>
  <r>
    <x v="1"/>
    <x v="2"/>
    <n v="32015"/>
  </r>
  <r>
    <x v="2"/>
    <x v="3"/>
    <n v="3647"/>
  </r>
  <r>
    <x v="2"/>
    <x v="4"/>
    <n v="69141"/>
  </r>
  <r>
    <x v="1"/>
    <x v="4"/>
    <n v="91296"/>
  </r>
  <r>
    <x v="0"/>
    <x v="5"/>
    <n v="51755"/>
  </r>
  <r>
    <x v="0"/>
    <x v="2"/>
    <n v="24963"/>
  </r>
  <r>
    <x v="2"/>
    <x v="0"/>
    <n v="38579"/>
  </r>
  <r>
    <x v="1"/>
    <x v="4"/>
    <n v="40281"/>
  </r>
  <r>
    <x v="0"/>
    <x v="2"/>
    <n v="16865"/>
  </r>
  <r>
    <x v="0"/>
    <x v="3"/>
    <n v="43582"/>
  </r>
  <r>
    <x v="0"/>
    <x v="2"/>
    <n v="39569"/>
  </r>
  <r>
    <x v="0"/>
    <x v="4"/>
    <n v="41991"/>
  </r>
  <r>
    <x v="1"/>
    <x v="0"/>
    <n v="25081"/>
  </r>
  <r>
    <x v="0"/>
    <x v="4"/>
    <n v="20190"/>
  </r>
  <r>
    <x v="3"/>
    <x v="4"/>
    <n v="67754"/>
  </r>
  <r>
    <x v="2"/>
    <x v="0"/>
    <n v="8924"/>
  </r>
  <r>
    <x v="3"/>
    <x v="2"/>
    <n v="8081"/>
  </r>
  <r>
    <x v="2"/>
    <x v="2"/>
    <n v="4185"/>
  </r>
  <r>
    <x v="2"/>
    <x v="1"/>
    <n v="53916"/>
  </r>
  <r>
    <x v="2"/>
    <x v="2"/>
    <n v="21481"/>
  </r>
  <r>
    <x v="1"/>
    <x v="3"/>
    <n v="4706"/>
  </r>
  <r>
    <x v="0"/>
    <x v="3"/>
    <n v="34088"/>
  </r>
  <r>
    <x v="2"/>
    <x v="3"/>
    <n v="45183"/>
  </r>
  <r>
    <x v="3"/>
    <x v="0"/>
    <n v="65049"/>
  </r>
  <r>
    <x v="0"/>
    <x v="4"/>
    <n v="27217"/>
  </r>
  <r>
    <x v="0"/>
    <x v="1"/>
    <n v="16483"/>
  </r>
  <r>
    <x v="1"/>
    <x v="0"/>
    <n v="37571"/>
  </r>
  <r>
    <x v="2"/>
    <x v="0"/>
    <n v="43225"/>
  </r>
  <r>
    <x v="2"/>
    <x v="2"/>
    <n v="20967"/>
  </r>
  <r>
    <x v="3"/>
    <x v="4"/>
    <n v="36467"/>
  </r>
  <r>
    <x v="0"/>
    <x v="0"/>
    <n v="55436"/>
  </r>
  <r>
    <x v="3"/>
    <x v="1"/>
    <n v="75437"/>
  </r>
  <r>
    <x v="2"/>
    <x v="1"/>
    <n v="21337"/>
  </r>
  <r>
    <x v="3"/>
    <x v="5"/>
    <n v="14639"/>
  </r>
  <r>
    <x v="0"/>
    <x v="4"/>
    <n v="3704"/>
  </r>
  <r>
    <x v="1"/>
    <x v="1"/>
    <n v="32147"/>
  </r>
  <r>
    <x v="3"/>
    <x v="4"/>
    <n v="18101"/>
  </r>
  <r>
    <x v="0"/>
    <x v="4"/>
    <n v="18559"/>
  </r>
  <r>
    <x v="1"/>
    <x v="2"/>
    <n v="38627"/>
  </r>
  <r>
    <x v="1"/>
    <x v="3"/>
    <n v="349"/>
  </r>
  <r>
    <x v="1"/>
    <x v="2"/>
    <n v="92810"/>
  </r>
  <r>
    <x v="2"/>
    <x v="3"/>
    <n v="36874"/>
  </r>
  <r>
    <x v="1"/>
    <x v="0"/>
    <n v="17875"/>
  </r>
  <r>
    <x v="2"/>
    <x v="0"/>
    <n v="25529"/>
  </r>
  <r>
    <x v="2"/>
    <x v="5"/>
    <n v="24620"/>
  </r>
  <r>
    <x v="0"/>
    <x v="5"/>
    <n v="33174"/>
  </r>
  <r>
    <x v="1"/>
    <x v="3"/>
    <n v="85788"/>
  </r>
  <r>
    <x v="2"/>
    <x v="4"/>
    <n v="35105"/>
  </r>
  <r>
    <x v="3"/>
    <x v="4"/>
    <n v="28370"/>
  </r>
  <r>
    <x v="0"/>
    <x v="5"/>
    <n v="6221"/>
  </r>
  <r>
    <x v="2"/>
    <x v="3"/>
    <n v="6757"/>
  </r>
  <r>
    <x v="1"/>
    <x v="4"/>
    <n v="22617"/>
  </r>
  <r>
    <x v="3"/>
    <x v="3"/>
    <n v="43338"/>
  </r>
  <r>
    <x v="1"/>
    <x v="2"/>
    <n v="47544"/>
  </r>
  <r>
    <x v="2"/>
    <x v="2"/>
    <n v="21925"/>
  </r>
  <r>
    <x v="3"/>
    <x v="2"/>
    <n v="12085"/>
  </r>
  <r>
    <x v="0"/>
    <x v="5"/>
    <n v="18654"/>
  </r>
  <r>
    <x v="0"/>
    <x v="1"/>
    <n v="50565"/>
  </r>
  <r>
    <x v="3"/>
    <x v="2"/>
    <n v="47305"/>
  </r>
  <r>
    <x v="2"/>
    <x v="4"/>
    <n v="21836"/>
  </r>
  <r>
    <x v="1"/>
    <x v="1"/>
    <n v="39025"/>
  </r>
  <r>
    <x v="0"/>
    <x v="1"/>
    <n v="22171"/>
  </r>
  <r>
    <x v="0"/>
    <x v="0"/>
    <n v="11596"/>
  </r>
  <r>
    <x v="2"/>
    <x v="1"/>
    <n v="56378"/>
  </r>
  <r>
    <x v="3"/>
    <x v="1"/>
    <n v="42743"/>
  </r>
  <r>
    <x v="1"/>
    <x v="5"/>
    <n v="33534"/>
  </r>
  <r>
    <x v="0"/>
    <x v="1"/>
    <n v="67839"/>
  </r>
  <r>
    <x v="1"/>
    <x v="5"/>
    <n v="18164"/>
  </r>
  <r>
    <x v="3"/>
    <x v="3"/>
    <n v="51605"/>
  </r>
  <r>
    <x v="0"/>
    <x v="5"/>
    <n v="15379"/>
  </r>
  <r>
    <x v="3"/>
    <x v="1"/>
    <n v="30229"/>
  </r>
  <r>
    <x v="2"/>
    <x v="0"/>
    <n v="995"/>
  </r>
  <r>
    <x v="3"/>
    <x v="5"/>
    <n v="75813"/>
  </r>
  <r>
    <x v="2"/>
    <x v="3"/>
    <n v="42921"/>
  </r>
  <r>
    <x v="2"/>
    <x v="5"/>
    <n v="839"/>
  </r>
  <r>
    <x v="3"/>
    <x v="3"/>
    <n v="63550"/>
  </r>
  <r>
    <x v="1"/>
    <x v="1"/>
    <n v="47579"/>
  </r>
  <r>
    <x v="1"/>
    <x v="4"/>
    <n v="7389"/>
  </r>
  <r>
    <x v="3"/>
    <x v="4"/>
    <n v="50924"/>
  </r>
  <r>
    <x v="2"/>
    <x v="2"/>
    <n v="4322"/>
  </r>
  <r>
    <x v="0"/>
    <x v="4"/>
    <n v="31404"/>
  </r>
  <r>
    <x v="2"/>
    <x v="3"/>
    <n v="49329"/>
  </r>
  <r>
    <x v="3"/>
    <x v="3"/>
    <n v="54826"/>
  </r>
  <r>
    <x v="0"/>
    <x v="0"/>
    <n v="27184"/>
  </r>
  <r>
    <x v="1"/>
    <x v="0"/>
    <n v="40816"/>
  </r>
  <r>
    <x v="3"/>
    <x v="0"/>
    <n v="59610"/>
  </r>
  <r>
    <x v="1"/>
    <x v="1"/>
    <n v="38771"/>
  </r>
  <r>
    <x v="1"/>
    <x v="2"/>
    <n v="55556"/>
  </r>
  <r>
    <x v="2"/>
    <x v="5"/>
    <n v="13588"/>
  </r>
  <r>
    <x v="0"/>
    <x v="4"/>
    <n v="52687"/>
  </r>
  <r>
    <x v="1"/>
    <x v="2"/>
    <n v="60592"/>
  </r>
  <r>
    <x v="2"/>
    <x v="3"/>
    <n v="11500"/>
  </r>
  <r>
    <x v="2"/>
    <x v="1"/>
    <n v="18959"/>
  </r>
  <r>
    <x v="0"/>
    <x v="0"/>
    <n v="85339"/>
  </r>
  <r>
    <x v="0"/>
    <x v="4"/>
    <n v="8882"/>
  </r>
  <r>
    <x v="1"/>
    <x v="3"/>
    <n v="34685"/>
  </r>
  <r>
    <x v="3"/>
    <x v="0"/>
    <n v="69749"/>
  </r>
  <r>
    <x v="0"/>
    <x v="0"/>
    <n v="14280"/>
  </r>
  <r>
    <x v="3"/>
    <x v="4"/>
    <n v="29576"/>
  </r>
  <r>
    <x v="2"/>
    <x v="3"/>
    <n v="71447"/>
  </r>
  <r>
    <x v="2"/>
    <x v="3"/>
    <n v="10569"/>
  </r>
  <r>
    <x v="0"/>
    <x v="5"/>
    <n v="45631"/>
  </r>
  <r>
    <x v="0"/>
    <x v="1"/>
    <n v="13838"/>
  </r>
  <r>
    <x v="0"/>
    <x v="3"/>
    <n v="33446"/>
  </r>
  <r>
    <x v="1"/>
    <x v="5"/>
    <n v="43705"/>
  </r>
  <r>
    <x v="0"/>
    <x v="5"/>
    <n v="43666"/>
  </r>
  <r>
    <x v="1"/>
    <x v="4"/>
    <n v="2753"/>
  </r>
  <r>
    <x v="0"/>
    <x v="3"/>
    <n v="12564"/>
  </r>
  <r>
    <x v="1"/>
    <x v="5"/>
    <n v="38552"/>
  </r>
  <r>
    <x v="3"/>
    <x v="3"/>
    <n v="45632"/>
  </r>
  <r>
    <x v="2"/>
    <x v="4"/>
    <n v="3399"/>
  </r>
  <r>
    <x v="3"/>
    <x v="4"/>
    <n v="82543"/>
  </r>
  <r>
    <x v="1"/>
    <x v="2"/>
    <n v="29689"/>
  </r>
  <r>
    <x v="3"/>
    <x v="4"/>
    <n v="91440"/>
  </r>
  <r>
    <x v="3"/>
    <x v="3"/>
    <n v="14309"/>
  </r>
  <r>
    <x v="0"/>
    <x v="0"/>
    <n v="6145"/>
  </r>
  <r>
    <x v="2"/>
    <x v="2"/>
    <n v="8"/>
  </r>
  <r>
    <x v="3"/>
    <x v="5"/>
    <n v="30565"/>
  </r>
  <r>
    <x v="3"/>
    <x v="0"/>
    <n v="25286"/>
  </r>
  <r>
    <x v="0"/>
    <x v="4"/>
    <n v="59842"/>
  </r>
  <r>
    <x v="3"/>
    <x v="4"/>
    <n v="3363"/>
  </r>
  <r>
    <x v="0"/>
    <x v="3"/>
    <n v="87833"/>
  </r>
  <r>
    <x v="2"/>
    <x v="3"/>
    <n v="8272"/>
  </r>
  <r>
    <x v="2"/>
    <x v="1"/>
    <n v="4390"/>
  </r>
  <r>
    <x v="2"/>
    <x v="2"/>
    <n v="71696"/>
  </r>
  <r>
    <x v="2"/>
    <x v="3"/>
    <n v="42228"/>
  </r>
  <r>
    <x v="3"/>
    <x v="0"/>
    <n v="50567"/>
  </r>
  <r>
    <x v="2"/>
    <x v="1"/>
    <n v="20509"/>
  </r>
  <r>
    <x v="0"/>
    <x v="2"/>
    <n v="1044"/>
  </r>
  <r>
    <x v="3"/>
    <x v="4"/>
    <n v="37437"/>
  </r>
  <r>
    <x v="3"/>
    <x v="1"/>
    <n v="23719"/>
  </r>
  <r>
    <x v="3"/>
    <x v="4"/>
    <n v="34444"/>
  </r>
  <r>
    <x v="3"/>
    <x v="1"/>
    <n v="11660"/>
  </r>
  <r>
    <x v="2"/>
    <x v="2"/>
    <n v="71322"/>
  </r>
  <r>
    <x v="0"/>
    <x v="1"/>
    <n v="74927"/>
  </r>
  <r>
    <x v="1"/>
    <x v="1"/>
    <n v="20471"/>
  </r>
  <r>
    <x v="0"/>
    <x v="3"/>
    <n v="15996"/>
  </r>
  <r>
    <x v="3"/>
    <x v="2"/>
    <n v="29254"/>
  </r>
  <r>
    <x v="3"/>
    <x v="0"/>
    <n v="28044"/>
  </r>
  <r>
    <x v="0"/>
    <x v="4"/>
    <n v="49490"/>
  </r>
  <r>
    <x v="1"/>
    <x v="5"/>
    <n v="22583"/>
  </r>
  <r>
    <x v="3"/>
    <x v="0"/>
    <n v="41050"/>
  </r>
  <r>
    <x v="3"/>
    <x v="4"/>
    <n v="5472"/>
  </r>
  <r>
    <x v="3"/>
    <x v="0"/>
    <n v="34850"/>
  </r>
  <r>
    <x v="3"/>
    <x v="2"/>
    <n v="4037"/>
  </r>
  <r>
    <x v="0"/>
    <x v="4"/>
    <n v="14129"/>
  </r>
  <r>
    <x v="3"/>
    <x v="0"/>
    <n v="68488"/>
  </r>
  <r>
    <x v="2"/>
    <x v="3"/>
    <n v="21869"/>
  </r>
  <r>
    <x v="3"/>
    <x v="3"/>
    <n v="16309"/>
  </r>
  <r>
    <x v="0"/>
    <x v="0"/>
    <n v="52613"/>
  </r>
  <r>
    <x v="0"/>
    <x v="4"/>
    <n v="21120"/>
  </r>
  <r>
    <x v="3"/>
    <x v="2"/>
    <n v="36807"/>
  </r>
  <r>
    <x v="1"/>
    <x v="3"/>
    <n v="40125"/>
  </r>
  <r>
    <x v="3"/>
    <x v="4"/>
    <n v="48524"/>
  </r>
  <r>
    <x v="2"/>
    <x v="2"/>
    <n v="21454"/>
  </r>
  <r>
    <x v="3"/>
    <x v="1"/>
    <n v="2940"/>
  </r>
  <r>
    <x v="2"/>
    <x v="2"/>
    <n v="60397"/>
  </r>
  <r>
    <x v="2"/>
    <x v="4"/>
    <n v="72237"/>
  </r>
  <r>
    <x v="1"/>
    <x v="4"/>
    <n v="9417"/>
  </r>
  <r>
    <x v="2"/>
    <x v="0"/>
    <n v="12130"/>
  </r>
  <r>
    <x v="0"/>
    <x v="4"/>
    <n v="475"/>
  </r>
  <r>
    <x v="0"/>
    <x v="3"/>
    <n v="10967"/>
  </r>
  <r>
    <x v="3"/>
    <x v="2"/>
    <n v="49351"/>
  </r>
  <r>
    <x v="0"/>
    <x v="0"/>
    <n v="66614"/>
  </r>
  <r>
    <x v="2"/>
    <x v="0"/>
    <n v="59400"/>
  </r>
  <r>
    <x v="2"/>
    <x v="5"/>
    <n v="21890"/>
  </r>
  <r>
    <x v="1"/>
    <x v="0"/>
    <n v="59490"/>
  </r>
  <r>
    <x v="2"/>
    <x v="5"/>
    <n v="20785"/>
  </r>
  <r>
    <x v="2"/>
    <x v="1"/>
    <n v="39154"/>
  </r>
  <r>
    <x v="1"/>
    <x v="2"/>
    <n v="39319"/>
  </r>
  <r>
    <x v="0"/>
    <x v="3"/>
    <n v="52791"/>
  </r>
  <r>
    <x v="3"/>
    <x v="0"/>
    <n v="16844"/>
  </r>
  <r>
    <x v="0"/>
    <x v="3"/>
    <n v="8875"/>
  </r>
  <r>
    <x v="3"/>
    <x v="4"/>
    <n v="20516"/>
  </r>
  <r>
    <x v="0"/>
    <x v="1"/>
    <n v="49257"/>
  </r>
  <r>
    <x v="1"/>
    <x v="4"/>
    <n v="97772"/>
  </r>
  <r>
    <x v="1"/>
    <x v="5"/>
    <n v="63650"/>
  </r>
  <r>
    <x v="1"/>
    <x v="4"/>
    <n v="56125"/>
  </r>
  <r>
    <x v="2"/>
    <x v="5"/>
    <n v="18395"/>
  </r>
  <r>
    <x v="0"/>
    <x v="0"/>
    <n v="63789"/>
  </r>
  <r>
    <x v="0"/>
    <x v="1"/>
    <n v="9418"/>
  </r>
  <r>
    <x v="1"/>
    <x v="1"/>
    <n v="35505"/>
  </r>
  <r>
    <x v="1"/>
    <x v="5"/>
    <n v="19443"/>
  </r>
  <r>
    <x v="2"/>
    <x v="0"/>
    <n v="6636"/>
  </r>
  <r>
    <x v="1"/>
    <x v="3"/>
    <n v="85743"/>
  </r>
  <r>
    <x v="3"/>
    <x v="3"/>
    <n v="43415"/>
  </r>
  <r>
    <x v="2"/>
    <x v="3"/>
    <n v="35340"/>
  </r>
  <r>
    <x v="3"/>
    <x v="5"/>
    <n v="69596"/>
  </r>
  <r>
    <x v="3"/>
    <x v="1"/>
    <n v="11978"/>
  </r>
  <r>
    <x v="3"/>
    <x v="1"/>
    <n v="28102"/>
  </r>
  <r>
    <x v="3"/>
    <x v="3"/>
    <n v="28185"/>
  </r>
  <r>
    <x v="0"/>
    <x v="4"/>
    <n v="15403"/>
  </r>
  <r>
    <x v="0"/>
    <x v="5"/>
    <n v="58146"/>
  </r>
  <r>
    <x v="0"/>
    <x v="1"/>
    <n v="10245"/>
  </r>
  <r>
    <x v="3"/>
    <x v="4"/>
    <n v="85823"/>
  </r>
  <r>
    <x v="3"/>
    <x v="4"/>
    <n v="22331"/>
  </r>
  <r>
    <x v="0"/>
    <x v="3"/>
    <n v="62688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x v="0"/>
    <n v="1461"/>
    <x v="0"/>
    <n v="15"/>
  </r>
  <r>
    <x v="1"/>
    <n v="4054"/>
    <x v="1"/>
    <n v="117"/>
  </r>
  <r>
    <x v="2"/>
    <n v="2795"/>
    <x v="2"/>
    <n v="204"/>
  </r>
  <r>
    <x v="3"/>
    <n v="2404"/>
    <x v="3"/>
    <n v="128"/>
  </r>
  <r>
    <x v="0"/>
    <n v="3557"/>
    <x v="4"/>
    <n v="224"/>
  </r>
  <r>
    <x v="1"/>
    <n v="2945"/>
    <x v="5"/>
    <n v="256"/>
  </r>
  <r>
    <x v="1"/>
    <n v="3860"/>
    <x v="6"/>
    <n v="235"/>
  </r>
  <r>
    <x v="3"/>
    <n v="3929"/>
    <x v="7"/>
    <n v="39"/>
  </r>
  <r>
    <x v="1"/>
    <n v="3784"/>
    <x v="8"/>
    <n v="131"/>
  </r>
  <r>
    <x v="1"/>
    <n v="4241"/>
    <x v="9"/>
    <n v="167"/>
  </r>
  <r>
    <x v="3"/>
    <n v="1792"/>
    <x v="10"/>
    <n v="65"/>
  </r>
  <r>
    <x v="2"/>
    <n v="1946"/>
    <x v="11"/>
    <n v="213"/>
  </r>
  <r>
    <x v="0"/>
    <n v="1171"/>
    <x v="12"/>
    <n v="114"/>
  </r>
  <r>
    <x v="4"/>
    <n v="4242"/>
    <x v="13"/>
    <n v="265"/>
  </r>
  <r>
    <x v="0"/>
    <n v="3888"/>
    <x v="14"/>
    <n v="20"/>
  </r>
  <r>
    <x v="2"/>
    <n v="3452"/>
    <x v="15"/>
    <n v="87"/>
  </r>
  <r>
    <x v="3"/>
    <n v="4441"/>
    <x v="16"/>
    <n v="159"/>
  </r>
  <r>
    <x v="0"/>
    <n v="3000"/>
    <x v="17"/>
    <n v="19"/>
  </r>
  <r>
    <x v="3"/>
    <n v="1071"/>
    <x v="18"/>
    <n v="103"/>
  </r>
  <r>
    <x v="0"/>
    <n v="4054"/>
    <x v="19"/>
    <n v="25"/>
  </r>
  <r>
    <x v="3"/>
    <n v="4838"/>
    <x v="20"/>
    <n v="83"/>
  </r>
  <r>
    <x v="3"/>
    <n v="1570"/>
    <x v="21"/>
    <n v="133"/>
  </r>
  <r>
    <x v="1"/>
    <n v="1606"/>
    <x v="22"/>
    <n v="225"/>
  </r>
  <r>
    <x v="2"/>
    <n v="3961"/>
    <x v="23"/>
    <n v="161"/>
  </r>
  <r>
    <x v="4"/>
    <n v="3128"/>
    <x v="24"/>
    <n v="238"/>
  </r>
  <r>
    <x v="1"/>
    <n v="3009"/>
    <x v="25"/>
    <n v="211"/>
  </r>
  <r>
    <x v="3"/>
    <n v="2076"/>
    <x v="26"/>
    <n v="51"/>
  </r>
  <r>
    <x v="3"/>
    <n v="432"/>
    <x v="27"/>
    <n v="79"/>
  </r>
  <r>
    <x v="2"/>
    <n v="2566"/>
    <x v="28"/>
    <n v="221"/>
  </r>
  <r>
    <x v="4"/>
    <n v="3095"/>
    <x v="29"/>
    <n v="93"/>
  </r>
  <r>
    <x v="1"/>
    <n v="438"/>
    <x v="30"/>
    <n v="282"/>
  </r>
  <r>
    <x v="0"/>
    <n v="2278"/>
    <x v="31"/>
    <n v="275"/>
  </r>
  <r>
    <x v="0"/>
    <n v="1407"/>
    <x v="32"/>
    <n v="113"/>
  </r>
  <r>
    <x v="2"/>
    <n v="1652"/>
    <x v="33"/>
    <n v="215"/>
  </r>
  <r>
    <x v="1"/>
    <n v="3775"/>
    <x v="34"/>
    <n v="271"/>
  </r>
  <r>
    <x v="1"/>
    <n v="4518"/>
    <x v="35"/>
    <n v="31"/>
  </r>
  <r>
    <x v="1"/>
    <n v="3024"/>
    <x v="36"/>
    <n v="36"/>
  </r>
  <r>
    <x v="3"/>
    <n v="3138"/>
    <x v="37"/>
    <n v="87"/>
  </r>
  <r>
    <x v="4"/>
    <n v="3564"/>
    <x v="38"/>
    <n v="92"/>
  </r>
  <r>
    <x v="3"/>
    <n v="4750"/>
    <x v="39"/>
    <n v="299"/>
  </r>
  <r>
    <x v="3"/>
    <n v="456"/>
    <x v="40"/>
    <n v="205"/>
  </r>
  <r>
    <x v="4"/>
    <n v="1543"/>
    <x v="41"/>
    <n v="241"/>
  </r>
  <r>
    <x v="2"/>
    <n v="2174"/>
    <x v="42"/>
    <n v="137"/>
  </r>
  <r>
    <x v="4"/>
    <n v="2358"/>
    <x v="43"/>
    <n v="216"/>
  </r>
  <r>
    <x v="0"/>
    <n v="3371"/>
    <x v="44"/>
    <n v="176"/>
  </r>
  <r>
    <x v="3"/>
    <n v="1108"/>
    <x v="45"/>
    <n v="97"/>
  </r>
  <r>
    <x v="4"/>
    <n v="2704"/>
    <x v="46"/>
    <n v="127"/>
  </r>
  <r>
    <x v="4"/>
    <n v="1950"/>
    <x v="47"/>
    <n v="119"/>
  </r>
  <r>
    <x v="3"/>
    <n v="2164"/>
    <x v="48"/>
    <n v="177"/>
  </r>
  <r>
    <x v="2"/>
    <n v="2754"/>
    <x v="49"/>
    <n v="112"/>
  </r>
  <r>
    <x v="1"/>
    <n v="2200"/>
    <x v="50"/>
    <n v="225"/>
  </r>
  <r>
    <x v="3"/>
    <n v="947"/>
    <x v="51"/>
    <n v="34"/>
  </r>
  <r>
    <x v="4"/>
    <n v="804"/>
    <x v="52"/>
    <n v="11"/>
  </r>
  <r>
    <x v="1"/>
    <n v="1686"/>
    <x v="53"/>
    <n v="52"/>
  </r>
  <r>
    <x v="3"/>
    <n v="1226"/>
    <x v="54"/>
    <n v="123"/>
  </r>
  <r>
    <x v="2"/>
    <n v="2946"/>
    <x v="55"/>
    <n v="60"/>
  </r>
  <r>
    <x v="0"/>
    <n v="2825"/>
    <x v="56"/>
    <n v="169"/>
  </r>
  <r>
    <x v="3"/>
    <n v="103"/>
    <x v="57"/>
    <n v="262"/>
  </r>
  <r>
    <x v="4"/>
    <n v="2180"/>
    <x v="58"/>
    <n v="174"/>
  </r>
  <r>
    <x v="2"/>
    <n v="904"/>
    <x v="59"/>
    <n v="84"/>
  </r>
  <r>
    <x v="0"/>
    <n v="4886"/>
    <x v="60"/>
    <n v="65"/>
  </r>
  <r>
    <x v="2"/>
    <n v="53"/>
    <x v="61"/>
    <n v="148"/>
  </r>
  <r>
    <x v="2"/>
    <n v="4507"/>
    <x v="62"/>
    <n v="125"/>
  </r>
  <r>
    <x v="2"/>
    <n v="2878"/>
    <x v="63"/>
    <n v="75"/>
  </r>
  <r>
    <x v="4"/>
    <n v="1881"/>
    <x v="64"/>
    <n v="289"/>
  </r>
  <r>
    <x v="0"/>
    <n v="432"/>
    <x v="65"/>
    <n v="184"/>
  </r>
  <r>
    <x v="2"/>
    <n v="4712"/>
    <x v="66"/>
    <n v="100"/>
  </r>
  <r>
    <x v="4"/>
    <n v="2610"/>
    <x v="67"/>
    <n v="73"/>
  </r>
  <r>
    <x v="2"/>
    <n v="1292"/>
    <x v="68"/>
    <n v="149"/>
  </r>
  <r>
    <x v="4"/>
    <n v="199"/>
    <x v="69"/>
    <n v="43"/>
  </r>
  <r>
    <x v="1"/>
    <n v="2551"/>
    <x v="70"/>
    <n v="227"/>
  </r>
  <r>
    <x v="1"/>
    <n v="296"/>
    <x v="71"/>
    <n v="88"/>
  </r>
  <r>
    <x v="3"/>
    <n v="4126"/>
    <x v="72"/>
    <n v="88"/>
  </r>
  <r>
    <x v="2"/>
    <n v="1855"/>
    <x v="73"/>
    <n v="123"/>
  </r>
  <r>
    <x v="3"/>
    <n v="1674"/>
    <x v="74"/>
    <n v="255"/>
  </r>
  <r>
    <x v="3"/>
    <n v="1121"/>
    <x v="75"/>
    <n v="99"/>
  </r>
  <r>
    <x v="4"/>
    <n v="1249"/>
    <x v="76"/>
    <n v="63"/>
  </r>
  <r>
    <x v="3"/>
    <n v="954"/>
    <x v="77"/>
    <n v="21"/>
  </r>
  <r>
    <x v="1"/>
    <n v="3068"/>
    <x v="78"/>
    <n v="266"/>
  </r>
  <r>
    <x v="4"/>
    <n v="2103"/>
    <x v="79"/>
    <n v="28"/>
  </r>
  <r>
    <x v="2"/>
    <n v="1816"/>
    <x v="80"/>
    <n v="283"/>
  </r>
  <r>
    <x v="2"/>
    <n v="725"/>
    <x v="81"/>
    <n v="200"/>
  </r>
  <r>
    <x v="4"/>
    <n v="1094"/>
    <x v="82"/>
    <n v="112"/>
  </r>
  <r>
    <x v="3"/>
    <n v="1841"/>
    <x v="83"/>
    <n v="255"/>
  </r>
  <r>
    <x v="0"/>
    <n v="4177"/>
    <x v="84"/>
    <n v="230"/>
  </r>
  <r>
    <x v="3"/>
    <n v="3428"/>
    <x v="85"/>
    <n v="242"/>
  </r>
  <r>
    <x v="2"/>
    <n v="1436"/>
    <x v="86"/>
    <n v="197"/>
  </r>
  <r>
    <x v="3"/>
    <n v="302"/>
    <x v="87"/>
    <n v="25"/>
  </r>
  <r>
    <x v="4"/>
    <n v="2214"/>
    <x v="88"/>
    <n v="180"/>
  </r>
  <r>
    <x v="3"/>
    <n v="3861"/>
    <x v="89"/>
    <n v="297"/>
  </r>
  <r>
    <x v="3"/>
    <n v="1263"/>
    <x v="90"/>
    <n v="137"/>
  </r>
  <r>
    <x v="2"/>
    <n v="3801"/>
    <x v="91"/>
    <n v="236"/>
  </r>
  <r>
    <x v="2"/>
    <n v="1431"/>
    <x v="92"/>
    <n v="150"/>
  </r>
  <r>
    <x v="2"/>
    <n v="2647"/>
    <x v="93"/>
    <n v="46"/>
  </r>
  <r>
    <x v="3"/>
    <n v="3182"/>
    <x v="94"/>
    <n v="163"/>
  </r>
  <r>
    <x v="4"/>
    <n v="1238"/>
    <x v="95"/>
    <n v="123"/>
  </r>
  <r>
    <x v="1"/>
    <n v="4739"/>
    <x v="96"/>
    <n v="36"/>
  </r>
  <r>
    <x v="3"/>
    <n v="1575"/>
    <x v="97"/>
    <n v="17"/>
  </r>
  <r>
    <x v="2"/>
    <n v="4171"/>
    <x v="98"/>
    <n v="173"/>
  </r>
  <r>
    <x v="4"/>
    <n v="1766"/>
    <x v="99"/>
    <n v="52"/>
  </r>
  <r>
    <x v="2"/>
    <n v="4450"/>
    <x v="100"/>
    <n v="12"/>
  </r>
  <r>
    <x v="1"/>
    <n v="1000"/>
    <x v="101"/>
    <n v="223"/>
  </r>
  <r>
    <x v="1"/>
    <n v="3689"/>
    <x v="102"/>
    <n v="212"/>
  </r>
  <r>
    <x v="2"/>
    <n v="3655"/>
    <x v="103"/>
    <n v="199"/>
  </r>
  <r>
    <x v="0"/>
    <n v="498"/>
    <x v="104"/>
    <n v="32"/>
  </r>
  <r>
    <x v="3"/>
    <n v="4619"/>
    <x v="105"/>
    <n v="298"/>
  </r>
  <r>
    <x v="4"/>
    <n v="4832"/>
    <x v="106"/>
    <n v="182"/>
  </r>
  <r>
    <x v="1"/>
    <n v="4050"/>
    <x v="107"/>
    <n v="209"/>
  </r>
  <r>
    <x v="2"/>
    <n v="3649"/>
    <x v="108"/>
    <n v="167"/>
  </r>
  <r>
    <x v="1"/>
    <n v="3523"/>
    <x v="109"/>
    <n v="270"/>
  </r>
  <r>
    <x v="1"/>
    <n v="2719"/>
    <x v="110"/>
    <n v="40"/>
  </r>
  <r>
    <x v="2"/>
    <n v="1957"/>
    <x v="111"/>
    <n v="297"/>
  </r>
  <r>
    <x v="0"/>
    <n v="4419"/>
    <x v="112"/>
    <n v="10"/>
  </r>
  <r>
    <x v="0"/>
    <n v="4000"/>
    <x v="113"/>
    <n v="44"/>
  </r>
  <r>
    <x v="3"/>
    <n v="2493"/>
    <x v="114"/>
    <n v="242"/>
  </r>
  <r>
    <x v="4"/>
    <n v="3704"/>
    <x v="115"/>
    <n v="131"/>
  </r>
  <r>
    <x v="3"/>
    <n v="1606"/>
    <x v="116"/>
    <n v="219"/>
  </r>
  <r>
    <x v="2"/>
    <n v="4551"/>
    <x v="117"/>
    <n v="57"/>
  </r>
  <r>
    <x v="4"/>
    <n v="1970"/>
    <x v="118"/>
    <n v="117"/>
  </r>
  <r>
    <x v="2"/>
    <n v="780"/>
    <x v="119"/>
    <n v="91"/>
  </r>
  <r>
    <x v="4"/>
    <n v="498"/>
    <x v="120"/>
    <n v="185"/>
  </r>
  <r>
    <x v="1"/>
    <n v="3432"/>
    <x v="121"/>
    <n v="264"/>
  </r>
  <r>
    <x v="0"/>
    <n v="4363"/>
    <x v="122"/>
    <n v="157"/>
  </r>
  <r>
    <x v="0"/>
    <n v="736"/>
    <x v="123"/>
    <n v="19"/>
  </r>
  <r>
    <x v="3"/>
    <n v="3811"/>
    <x v="124"/>
    <n v="233"/>
  </r>
  <r>
    <x v="4"/>
    <n v="4158"/>
    <x v="125"/>
    <n v="142"/>
  </r>
  <r>
    <x v="2"/>
    <n v="3452"/>
    <x v="126"/>
    <n v="158"/>
  </r>
  <r>
    <x v="4"/>
    <n v="3092"/>
    <x v="127"/>
    <n v="102"/>
  </r>
  <r>
    <x v="4"/>
    <n v="2147"/>
    <x v="128"/>
    <n v="170"/>
  </r>
  <r>
    <x v="3"/>
    <n v="2936"/>
    <x v="129"/>
    <n v="22"/>
  </r>
  <r>
    <x v="2"/>
    <n v="4840"/>
    <x v="130"/>
    <n v="57"/>
  </r>
  <r>
    <x v="1"/>
    <n v="1947"/>
    <x v="131"/>
    <n v="186"/>
  </r>
  <r>
    <x v="3"/>
    <n v="2072"/>
    <x v="132"/>
    <n v="25"/>
  </r>
  <r>
    <x v="0"/>
    <n v="3731"/>
    <x v="133"/>
    <n v="103"/>
  </r>
  <r>
    <x v="3"/>
    <n v="4213"/>
    <x v="134"/>
    <n v="272"/>
  </r>
  <r>
    <x v="3"/>
    <n v="3134"/>
    <x v="135"/>
    <n v="130"/>
  </r>
  <r>
    <x v="4"/>
    <n v="3008"/>
    <x v="136"/>
    <n v="277"/>
  </r>
  <r>
    <x v="2"/>
    <n v="305"/>
    <x v="137"/>
    <n v="234"/>
  </r>
  <r>
    <x v="0"/>
    <n v="2746"/>
    <x v="138"/>
    <n v="147"/>
  </r>
  <r>
    <x v="1"/>
    <n v="2291"/>
    <x v="139"/>
    <n v="10"/>
  </r>
  <r>
    <x v="4"/>
    <n v="3170"/>
    <x v="140"/>
    <n v="240"/>
  </r>
  <r>
    <x v="3"/>
    <n v="2070"/>
    <x v="141"/>
    <n v="114"/>
  </r>
  <r>
    <x v="2"/>
    <n v="80"/>
    <x v="142"/>
    <n v="117"/>
  </r>
  <r>
    <x v="3"/>
    <n v="4929"/>
    <x v="143"/>
    <n v="66"/>
  </r>
  <r>
    <x v="3"/>
    <n v="1878"/>
    <x v="144"/>
    <n v="142"/>
  </r>
  <r>
    <x v="4"/>
    <n v="3065"/>
    <x v="145"/>
    <n v="200"/>
  </r>
  <r>
    <x v="1"/>
    <n v="3256"/>
    <x v="146"/>
    <n v="143"/>
  </r>
  <r>
    <x v="3"/>
    <n v="4133"/>
    <x v="147"/>
    <n v="176"/>
  </r>
  <r>
    <x v="0"/>
    <n v="1702"/>
    <x v="148"/>
    <n v="76"/>
  </r>
  <r>
    <x v="3"/>
    <n v="4295"/>
    <x v="149"/>
    <n v="290"/>
  </r>
  <r>
    <x v="0"/>
    <n v="3559"/>
    <x v="150"/>
    <n v="122"/>
  </r>
  <r>
    <x v="3"/>
    <n v="4804"/>
    <x v="151"/>
    <n v="47"/>
  </r>
  <r>
    <x v="2"/>
    <n v="754"/>
    <x v="152"/>
    <n v="212"/>
  </r>
  <r>
    <x v="3"/>
    <n v="985"/>
    <x v="153"/>
    <n v="64"/>
  </r>
  <r>
    <x v="1"/>
    <n v="2283"/>
    <x v="154"/>
    <n v="143"/>
  </r>
  <r>
    <x v="1"/>
    <n v="3352"/>
    <x v="155"/>
    <n v="240"/>
  </r>
  <r>
    <x v="1"/>
    <n v="4775"/>
    <x v="156"/>
    <n v="187"/>
  </r>
  <r>
    <x v="0"/>
    <n v="1762"/>
    <x v="157"/>
    <n v="25"/>
  </r>
  <r>
    <x v="1"/>
    <n v="2120"/>
    <x v="158"/>
    <n v="17"/>
  </r>
  <r>
    <x v="4"/>
    <n v="1082"/>
    <x v="159"/>
    <n v="20"/>
  </r>
  <r>
    <x v="3"/>
    <n v="4671"/>
    <x v="160"/>
    <n v="245"/>
  </r>
  <r>
    <x v="4"/>
    <n v="3430"/>
    <x v="161"/>
    <n v="120"/>
  </r>
  <r>
    <x v="1"/>
    <n v="4501"/>
    <x v="162"/>
    <n v="132"/>
  </r>
  <r>
    <x v="3"/>
    <n v="4934"/>
    <x v="163"/>
    <n v="169"/>
  </r>
  <r>
    <x v="1"/>
    <n v="3239"/>
    <x v="164"/>
    <n v="230"/>
  </r>
  <r>
    <x v="0"/>
    <n v="1076"/>
    <x v="165"/>
    <n v="104"/>
  </r>
  <r>
    <x v="4"/>
    <n v="4771"/>
    <x v="166"/>
    <n v="150"/>
  </r>
  <r>
    <x v="0"/>
    <n v="2418"/>
    <x v="167"/>
    <n v="182"/>
  </r>
  <r>
    <x v="0"/>
    <n v="3809"/>
    <x v="168"/>
    <n v="83"/>
  </r>
  <r>
    <x v="2"/>
    <n v="3577"/>
    <x v="169"/>
    <n v="53"/>
  </r>
  <r>
    <x v="1"/>
    <n v="1018"/>
    <x v="170"/>
    <n v="38"/>
  </r>
  <r>
    <x v="2"/>
    <n v="3073"/>
    <x v="171"/>
    <n v="246"/>
  </r>
  <r>
    <x v="2"/>
    <n v="1330"/>
    <x v="172"/>
    <n v="229"/>
  </r>
  <r>
    <x v="4"/>
    <n v="3828"/>
    <x v="173"/>
    <n v="235"/>
  </r>
  <r>
    <x v="3"/>
    <n v="142"/>
    <x v="174"/>
    <n v="154"/>
  </r>
  <r>
    <x v="0"/>
    <n v="3798"/>
    <x v="175"/>
    <n v="266"/>
  </r>
  <r>
    <x v="2"/>
    <n v="3099"/>
    <x v="176"/>
    <n v="52"/>
  </r>
  <r>
    <x v="3"/>
    <n v="129"/>
    <x v="177"/>
    <n v="238"/>
  </r>
  <r>
    <x v="4"/>
    <n v="3796"/>
    <x v="178"/>
    <n v="292"/>
  </r>
  <r>
    <x v="0"/>
    <n v="3711"/>
    <x v="179"/>
    <n v="11"/>
  </r>
  <r>
    <x v="2"/>
    <n v="606"/>
    <x v="180"/>
    <n v="239"/>
  </r>
  <r>
    <x v="3"/>
    <n v="4689"/>
    <x v="181"/>
    <n v="173"/>
  </r>
  <r>
    <x v="1"/>
    <n v="360"/>
    <x v="182"/>
    <n v="208"/>
  </r>
  <r>
    <x v="0"/>
    <n v="3215"/>
    <x v="183"/>
    <n v="251"/>
  </r>
  <r>
    <x v="4"/>
    <n v="4523"/>
    <x v="184"/>
    <n v="71"/>
  </r>
  <r>
    <x v="2"/>
    <n v="4292"/>
    <x v="185"/>
    <n v="264"/>
  </r>
  <r>
    <x v="2"/>
    <n v="1644"/>
    <x v="186"/>
    <n v="300"/>
  </r>
  <r>
    <x v="1"/>
    <n v="2728"/>
    <x v="187"/>
    <n v="137"/>
  </r>
  <r>
    <x v="0"/>
    <n v="3360"/>
    <x v="188"/>
    <n v="192"/>
  </r>
  <r>
    <x v="4"/>
    <n v="1963"/>
    <x v="189"/>
    <n v="145"/>
  </r>
  <r>
    <x v="2"/>
    <n v="4285"/>
    <x v="190"/>
    <n v="51"/>
  </r>
  <r>
    <x v="4"/>
    <n v="1176"/>
    <x v="191"/>
    <n v="272"/>
  </r>
  <r>
    <x v="2"/>
    <n v="4858"/>
    <x v="192"/>
    <n v="223"/>
  </r>
  <r>
    <x v="0"/>
    <n v="4350"/>
    <x v="193"/>
    <n v="195"/>
  </r>
  <r>
    <x v="3"/>
    <n v="914"/>
    <x v="194"/>
    <n v="282"/>
  </r>
  <r>
    <x v="2"/>
    <n v="1813"/>
    <x v="195"/>
    <n v="85"/>
  </r>
  <r>
    <x v="0"/>
    <n v="4782"/>
    <x v="196"/>
    <n v="19"/>
  </r>
  <r>
    <x v="2"/>
    <n v="1048"/>
    <x v="197"/>
    <n v="158"/>
  </r>
  <r>
    <x v="1"/>
    <n v="2509"/>
    <x v="198"/>
    <n v="277"/>
  </r>
  <r>
    <x v="1"/>
    <n v="3718"/>
    <x v="199"/>
    <n v="233"/>
  </r>
  <r>
    <x v="0"/>
    <n v="802"/>
    <x v="200"/>
    <n v="49"/>
  </r>
  <r>
    <x v="2"/>
    <n v="1871"/>
    <x v="201"/>
    <n v="288"/>
  </r>
  <r>
    <x v="0"/>
    <n v="3773"/>
    <x v="202"/>
    <n v="286"/>
  </r>
  <r>
    <x v="2"/>
    <n v="2234"/>
    <x v="203"/>
    <n v="198"/>
  </r>
  <r>
    <x v="3"/>
    <n v="3820"/>
    <x v="204"/>
    <n v="171"/>
  </r>
  <r>
    <x v="0"/>
    <n v="941"/>
    <x v="205"/>
    <n v="87"/>
  </r>
  <r>
    <x v="2"/>
    <n v="4274"/>
    <x v="206"/>
    <n v="129"/>
  </r>
  <r>
    <x v="1"/>
    <n v="2949"/>
    <x v="207"/>
    <n v="135"/>
  </r>
  <r>
    <x v="3"/>
    <n v="3160"/>
    <x v="208"/>
    <n v="49"/>
  </r>
  <r>
    <x v="0"/>
    <n v="257"/>
    <x v="209"/>
    <n v="287"/>
  </r>
  <r>
    <x v="3"/>
    <n v="2120"/>
    <x v="158"/>
    <n v="21"/>
  </r>
  <r>
    <x v="1"/>
    <n v="3874"/>
    <x v="210"/>
    <n v="219"/>
  </r>
  <r>
    <x v="3"/>
    <n v="2696"/>
    <x v="211"/>
    <n v="248"/>
  </r>
  <r>
    <x v="1"/>
    <n v="521"/>
    <x v="212"/>
    <n v="282"/>
  </r>
  <r>
    <x v="1"/>
    <n v="4872"/>
    <x v="213"/>
    <n v="89"/>
  </r>
  <r>
    <x v="1"/>
    <n v="1509"/>
    <x v="214"/>
    <n v="119"/>
  </r>
  <r>
    <x v="4"/>
    <n v="4606"/>
    <x v="215"/>
    <n v="56"/>
  </r>
  <r>
    <x v="3"/>
    <n v="1869"/>
    <x v="216"/>
    <n v="275"/>
  </r>
  <r>
    <x v="3"/>
    <n v="1188"/>
    <x v="217"/>
    <n v="270"/>
  </r>
  <r>
    <x v="4"/>
    <n v="84"/>
    <x v="218"/>
    <n v="12"/>
  </r>
  <r>
    <x v="4"/>
    <n v="4453"/>
    <x v="219"/>
    <n v="23"/>
  </r>
  <r>
    <x v="0"/>
    <n v="1814"/>
    <x v="220"/>
    <n v="39"/>
  </r>
  <r>
    <x v="4"/>
    <n v="3338"/>
    <x v="221"/>
    <n v="252"/>
  </r>
  <r>
    <x v="2"/>
    <n v="602"/>
    <x v="222"/>
    <n v="164"/>
  </r>
  <r>
    <x v="4"/>
    <n v="4672"/>
    <x v="223"/>
    <n v="118"/>
  </r>
  <r>
    <x v="4"/>
    <n v="1741"/>
    <x v="224"/>
    <n v="121"/>
  </r>
  <r>
    <x v="2"/>
    <n v="246"/>
    <x v="225"/>
    <n v="217"/>
  </r>
  <r>
    <x v="0"/>
    <n v="4808"/>
    <x v="226"/>
    <n v="195"/>
  </r>
  <r>
    <x v="4"/>
    <n v="4799"/>
    <x v="227"/>
    <n v="118"/>
  </r>
  <r>
    <x v="2"/>
    <n v="3663"/>
    <x v="228"/>
    <n v="84"/>
  </r>
  <r>
    <x v="0"/>
    <n v="1430"/>
    <x v="229"/>
    <n v="251"/>
  </r>
  <r>
    <x v="3"/>
    <n v="249"/>
    <x v="230"/>
    <n v="201"/>
  </r>
  <r>
    <x v="3"/>
    <n v="2382"/>
    <x v="231"/>
    <n v="249"/>
  </r>
  <r>
    <x v="4"/>
    <n v="1272"/>
    <x v="232"/>
    <n v="42"/>
  </r>
  <r>
    <x v="2"/>
    <n v="3196"/>
    <x v="233"/>
    <n v="241"/>
  </r>
  <r>
    <x v="1"/>
    <n v="1257"/>
    <x v="234"/>
    <n v="194"/>
  </r>
  <r>
    <x v="0"/>
    <n v="3770"/>
    <x v="235"/>
    <n v="76"/>
  </r>
  <r>
    <x v="3"/>
    <n v="4725"/>
    <x v="236"/>
    <n v="43"/>
  </r>
  <r>
    <x v="4"/>
    <n v="4188"/>
    <x v="237"/>
    <n v="102"/>
  </r>
  <r>
    <x v="2"/>
    <n v="929"/>
    <x v="238"/>
    <n v="145"/>
  </r>
  <r>
    <x v="3"/>
    <n v="4321"/>
    <x v="239"/>
    <n v="122"/>
  </r>
  <r>
    <x v="2"/>
    <n v="4767"/>
    <x v="240"/>
    <n v="210"/>
  </r>
  <r>
    <x v="3"/>
    <n v="3592"/>
    <x v="241"/>
    <n v="32"/>
  </r>
  <r>
    <x v="2"/>
    <n v="4661"/>
    <x v="242"/>
    <n v="63"/>
  </r>
  <r>
    <x v="0"/>
    <n v="4134"/>
    <x v="243"/>
    <n v="177"/>
  </r>
  <r>
    <x v="1"/>
    <n v="400"/>
    <x v="244"/>
    <n v="160"/>
  </r>
  <r>
    <x v="4"/>
    <n v="3960"/>
    <x v="245"/>
    <n v="208"/>
  </r>
  <r>
    <x v="4"/>
    <n v="886"/>
    <x v="246"/>
    <n v="212"/>
  </r>
  <r>
    <x v="1"/>
    <n v="827"/>
    <x v="247"/>
    <n v="254"/>
  </r>
  <r>
    <x v="4"/>
    <n v="3813"/>
    <x v="248"/>
    <n v="251"/>
  </r>
  <r>
    <x v="4"/>
    <n v="1377"/>
    <x v="49"/>
    <n v="189"/>
  </r>
  <r>
    <x v="2"/>
    <n v="2089"/>
    <x v="249"/>
    <n v="64"/>
  </r>
  <r>
    <x v="4"/>
    <n v="3791"/>
    <x v="250"/>
    <n v="205"/>
  </r>
  <r>
    <x v="1"/>
    <n v="2692"/>
    <x v="251"/>
    <n v="224"/>
  </r>
  <r>
    <x v="3"/>
    <n v="3767"/>
    <x v="252"/>
    <n v="226"/>
  </r>
  <r>
    <x v="1"/>
    <n v="2143"/>
    <x v="253"/>
    <n v="248"/>
  </r>
  <r>
    <x v="1"/>
    <n v="3090"/>
    <x v="254"/>
    <n v="25"/>
  </r>
  <r>
    <x v="1"/>
    <n v="3601"/>
    <x v="255"/>
    <n v="172"/>
  </r>
  <r>
    <x v="0"/>
    <n v="562"/>
    <x v="256"/>
    <n v="93"/>
  </r>
  <r>
    <x v="2"/>
    <n v="4332"/>
    <x v="257"/>
    <n v="10"/>
  </r>
  <r>
    <x v="0"/>
    <n v="4853"/>
    <x v="258"/>
    <n v="170"/>
  </r>
  <r>
    <x v="4"/>
    <n v="1206"/>
    <x v="259"/>
    <n v="237"/>
  </r>
  <r>
    <x v="1"/>
    <n v="2603"/>
    <x v="260"/>
    <n v="20"/>
  </r>
  <r>
    <x v="1"/>
    <n v="59"/>
    <x v="261"/>
    <n v="293"/>
  </r>
  <r>
    <x v="3"/>
    <n v="1877"/>
    <x v="262"/>
    <n v="41"/>
  </r>
  <r>
    <x v="2"/>
    <n v="4182"/>
    <x v="263"/>
    <n v="10"/>
  </r>
  <r>
    <x v="4"/>
    <n v="4187"/>
    <x v="264"/>
    <n v="62"/>
  </r>
  <r>
    <x v="0"/>
    <n v="4579"/>
    <x v="265"/>
    <n v="269"/>
  </r>
  <r>
    <x v="1"/>
    <n v="4561"/>
    <x v="266"/>
    <n v="45"/>
  </r>
  <r>
    <x v="2"/>
    <n v="3774"/>
    <x v="267"/>
    <n v="241"/>
  </r>
  <r>
    <x v="1"/>
    <n v="3575"/>
    <x v="229"/>
    <n v="195"/>
  </r>
  <r>
    <x v="2"/>
    <n v="4941"/>
    <x v="268"/>
    <n v="217"/>
  </r>
  <r>
    <x v="3"/>
    <n v="3641"/>
    <x v="269"/>
    <n v="296"/>
  </r>
  <r>
    <x v="3"/>
    <n v="3535"/>
    <x v="270"/>
    <n v="44"/>
  </r>
  <r>
    <x v="2"/>
    <n v="1741"/>
    <x v="271"/>
    <n v="58"/>
  </r>
  <r>
    <x v="1"/>
    <n v="1556"/>
    <x v="272"/>
    <n v="137"/>
  </r>
  <r>
    <x v="0"/>
    <n v="4236"/>
    <x v="273"/>
    <n v="238"/>
  </r>
  <r>
    <x v="3"/>
    <n v="4516"/>
    <x v="274"/>
    <n v="282"/>
  </r>
  <r>
    <x v="1"/>
    <n v="4905"/>
    <x v="275"/>
    <n v="279"/>
  </r>
  <r>
    <x v="3"/>
    <n v="4275"/>
    <x v="276"/>
    <n v="104"/>
  </r>
  <r>
    <x v="1"/>
    <n v="3166"/>
    <x v="277"/>
    <n v="135"/>
  </r>
  <r>
    <x v="2"/>
    <n v="1488"/>
    <x v="278"/>
    <n v="30"/>
  </r>
  <r>
    <x v="1"/>
    <n v="3367"/>
    <x v="279"/>
    <n v="157"/>
  </r>
  <r>
    <x v="3"/>
    <n v="571"/>
    <x v="280"/>
    <n v="231"/>
  </r>
  <r>
    <x v="4"/>
    <n v="4021"/>
    <x v="281"/>
    <n v="174"/>
  </r>
  <r>
    <x v="2"/>
    <n v="3389"/>
    <x v="282"/>
    <n v="228"/>
  </r>
  <r>
    <x v="0"/>
    <n v="1164"/>
    <x v="283"/>
    <n v="82"/>
  </r>
  <r>
    <x v="2"/>
    <n v="4780"/>
    <x v="284"/>
    <n v="262"/>
  </r>
  <r>
    <x v="4"/>
    <n v="2751"/>
    <x v="285"/>
    <n v="129"/>
  </r>
  <r>
    <x v="3"/>
    <n v="2107"/>
    <x v="286"/>
    <n v="191"/>
  </r>
  <r>
    <x v="3"/>
    <n v="4663"/>
    <x v="287"/>
    <n v="35"/>
  </r>
  <r>
    <x v="4"/>
    <n v="880"/>
    <x v="288"/>
    <n v="238"/>
  </r>
  <r>
    <x v="0"/>
    <n v="2634"/>
    <x v="289"/>
    <n v="277"/>
  </r>
  <r>
    <x v="2"/>
    <n v="4731"/>
    <x v="290"/>
    <n v="89"/>
  </r>
  <r>
    <x v="1"/>
    <n v="1952"/>
    <x v="291"/>
    <n v="235"/>
  </r>
  <r>
    <x v="3"/>
    <n v="3440"/>
    <x v="292"/>
    <n v="210"/>
  </r>
  <r>
    <x v="3"/>
    <n v="2166"/>
    <x v="293"/>
    <n v="24"/>
  </r>
  <r>
    <x v="2"/>
    <n v="4303"/>
    <x v="294"/>
    <n v="14"/>
  </r>
  <r>
    <x v="2"/>
    <n v="2581"/>
    <x v="295"/>
    <n v="70"/>
  </r>
  <r>
    <x v="0"/>
    <n v="4494"/>
    <x v="296"/>
    <n v="191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x v="0"/>
    <n v="1461"/>
    <n v="184"/>
    <n v="344"/>
    <n v="8.06"/>
    <n v="150000"/>
    <n v="1.3259999999999999E-2"/>
  </r>
  <r>
    <x v="1"/>
    <n v="4054"/>
    <n v="389"/>
    <n v="493"/>
    <n v="4.9800000000000004"/>
    <n v="200000"/>
    <n v="2.4680000000000001E-2"/>
  </r>
  <r>
    <x v="2"/>
    <n v="2795"/>
    <n v="105"/>
    <n v="49"/>
    <n v="8.31"/>
    <n v="250000"/>
    <n v="1.1795999999999999E-2"/>
  </r>
  <r>
    <x v="3"/>
    <n v="2404"/>
    <n v="363"/>
    <n v="138"/>
    <n v="4.1100000000000003"/>
    <n v="180000"/>
    <n v="1.613888888888889E-2"/>
  </r>
  <r>
    <x v="0"/>
    <n v="3557"/>
    <n v="687"/>
    <n v="424"/>
    <n v="9.0500000000000007"/>
    <n v="150000"/>
    <n v="3.1119999999999998E-2"/>
  </r>
  <r>
    <x v="1"/>
    <n v="2945"/>
    <n v="930"/>
    <n v="355"/>
    <n v="2.37"/>
    <n v="200000"/>
    <n v="2.1149999999999999E-2"/>
  </r>
  <r>
    <x v="1"/>
    <n v="3860"/>
    <n v="201"/>
    <n v="279"/>
    <n v="4.01"/>
    <n v="200000"/>
    <n v="2.1700000000000001E-2"/>
  </r>
  <r>
    <x v="3"/>
    <n v="3929"/>
    <n v="262"/>
    <n v="278"/>
    <n v="3.16"/>
    <n v="180000"/>
    <n v="2.4827777777777778E-2"/>
  </r>
  <r>
    <x v="1"/>
    <n v="3784"/>
    <n v="808"/>
    <n v="404"/>
    <n v="2.46"/>
    <n v="200000"/>
    <n v="2.4979999999999999E-2"/>
  </r>
  <r>
    <x v="1"/>
    <n v="4241"/>
    <n v="902"/>
    <n v="47"/>
    <n v="8.11"/>
    <n v="200000"/>
    <n v="2.5950000000000001E-2"/>
  </r>
  <r>
    <x v="3"/>
    <n v="1792"/>
    <n v="614"/>
    <n v="497"/>
    <n v="8.19"/>
    <n v="180000"/>
    <n v="1.6127777777777779E-2"/>
  </r>
  <r>
    <x v="2"/>
    <n v="1946"/>
    <n v="686"/>
    <n v="377"/>
    <n v="3.49"/>
    <n v="250000"/>
    <n v="1.2036E-2"/>
  </r>
  <r>
    <x v="0"/>
    <n v="1171"/>
    <n v="286"/>
    <n v="231"/>
    <n v="6.92"/>
    <n v="150000"/>
    <n v="1.1253333333333334E-2"/>
  </r>
  <r>
    <x v="4"/>
    <n v="4242"/>
    <n v="555"/>
    <n v="131"/>
    <n v="9.1199999999999992"/>
    <b v="0"/>
    <m/>
  </r>
  <r>
    <x v="0"/>
    <n v="3888"/>
    <n v="604"/>
    <n v="128"/>
    <n v="3.5"/>
    <n v="150000"/>
    <n v="3.0800000000000001E-2"/>
  </r>
  <r>
    <x v="2"/>
    <n v="3452"/>
    <n v="377"/>
    <n v="360"/>
    <n v="2.62"/>
    <n v="250000"/>
    <n v="1.6756E-2"/>
  </r>
  <r>
    <x v="3"/>
    <n v="4441"/>
    <n v="511"/>
    <n v="70"/>
    <n v="9.36"/>
    <n v="180000"/>
    <n v="2.7900000000000001E-2"/>
  </r>
  <r>
    <x v="0"/>
    <n v="3000"/>
    <n v="382"/>
    <n v="325"/>
    <n v="4.4800000000000004"/>
    <n v="150000"/>
    <n v="2.4713333333333334E-2"/>
  </r>
  <r>
    <x v="3"/>
    <n v="1071"/>
    <n v="519"/>
    <n v="22"/>
    <n v="6.19"/>
    <n v="180000"/>
    <n v="8.9555555555555551E-3"/>
  </r>
  <r>
    <x v="0"/>
    <n v="4054"/>
    <n v="488"/>
    <n v="373"/>
    <n v="8.7200000000000006"/>
    <n v="150000"/>
    <n v="3.2766666666666666E-2"/>
  </r>
  <r>
    <x v="3"/>
    <n v="4838"/>
    <n v="640"/>
    <n v="128"/>
    <n v="8.74"/>
    <n v="180000"/>
    <n v="3.1144444444444443E-2"/>
  </r>
  <r>
    <x v="3"/>
    <n v="1570"/>
    <n v="187"/>
    <n v="260"/>
    <n v="1.91"/>
    <n v="180000"/>
    <n v="1.1205555555555555E-2"/>
  </r>
  <r>
    <x v="1"/>
    <n v="1606"/>
    <n v="547"/>
    <n v="316"/>
    <n v="4.66"/>
    <n v="200000"/>
    <n v="1.2345E-2"/>
  </r>
  <r>
    <x v="2"/>
    <n v="3961"/>
    <n v="761"/>
    <n v="131"/>
    <n v="2.88"/>
    <n v="250000"/>
    <n v="1.9411999999999999E-2"/>
  </r>
  <r>
    <x v="4"/>
    <n v="3128"/>
    <n v="211"/>
    <n v="197"/>
    <n v="3.74"/>
    <b v="0"/>
    <m/>
  </r>
  <r>
    <x v="1"/>
    <n v="3009"/>
    <n v="413"/>
    <n v="358"/>
    <n v="6.44"/>
    <n v="200000"/>
    <n v="1.89E-2"/>
  </r>
  <r>
    <x v="3"/>
    <n v="2076"/>
    <n v="195"/>
    <n v="104"/>
    <n v="8.56"/>
    <n v="180000"/>
    <n v="1.3194444444444444E-2"/>
  </r>
  <r>
    <x v="3"/>
    <n v="432"/>
    <n v="624"/>
    <n v="123"/>
    <n v="4.5599999999999996"/>
    <n v="180000"/>
    <n v="6.5500000000000003E-3"/>
  </r>
  <r>
    <x v="2"/>
    <n v="2566"/>
    <n v="118"/>
    <n v="37"/>
    <n v="7.88"/>
    <n v="250000"/>
    <n v="1.0884E-2"/>
  </r>
  <r>
    <x v="4"/>
    <n v="3095"/>
    <n v="39"/>
    <n v="78"/>
    <n v="7.86"/>
    <b v="0"/>
    <m/>
  </r>
  <r>
    <x v="1"/>
    <n v="438"/>
    <n v="153"/>
    <n v="275"/>
    <n v="5.34"/>
    <n v="200000"/>
    <n v="4.3299999999999996E-3"/>
  </r>
  <r>
    <x v="0"/>
    <n v="2278"/>
    <n v="10"/>
    <n v="321"/>
    <n v="5.52"/>
    <n v="150000"/>
    <n v="1.7393333333333334E-2"/>
  </r>
  <r>
    <x v="0"/>
    <n v="1407"/>
    <n v="400"/>
    <n v="351"/>
    <n v="4.05"/>
    <n v="150000"/>
    <n v="1.4386666666666667E-2"/>
  </r>
  <r>
    <x v="2"/>
    <n v="1652"/>
    <n v="89"/>
    <n v="357"/>
    <n v="7.73"/>
    <n v="250000"/>
    <n v="8.3920000000000002E-3"/>
  </r>
  <r>
    <x v="1"/>
    <n v="3775"/>
    <n v="16"/>
    <n v="239"/>
    <n v="4.3600000000000003"/>
    <n v="200000"/>
    <n v="2.0150000000000001E-2"/>
  </r>
  <r>
    <x v="1"/>
    <n v="4518"/>
    <n v="285"/>
    <n v="383"/>
    <n v="3.48"/>
    <n v="200000"/>
    <n v="2.5930000000000002E-2"/>
  </r>
  <r>
    <x v="1"/>
    <n v="3024"/>
    <n v="925"/>
    <n v="350"/>
    <n v="7.83"/>
    <n v="200000"/>
    <n v="2.1495E-2"/>
  </r>
  <r>
    <x v="3"/>
    <n v="3138"/>
    <n v="123"/>
    <n v="291"/>
    <n v="6.11"/>
    <n v="180000"/>
    <n v="1.9733333333333332E-2"/>
  </r>
  <r>
    <x v="4"/>
    <n v="3564"/>
    <n v="629"/>
    <n v="177"/>
    <n v="9.43"/>
    <b v="0"/>
    <m/>
  </r>
  <r>
    <x v="3"/>
    <n v="4750"/>
    <n v="151"/>
    <n v="415"/>
    <n v="4.04"/>
    <n v="180000"/>
    <n v="2.9533333333333335E-2"/>
  </r>
  <r>
    <x v="3"/>
    <n v="456"/>
    <n v="629"/>
    <n v="428"/>
    <n v="6.23"/>
    <n v="180000"/>
    <n v="8.405555555555555E-3"/>
  </r>
  <r>
    <x v="4"/>
    <n v="1543"/>
    <n v="820"/>
    <n v="333"/>
    <n v="6.01"/>
    <b v="0"/>
    <m/>
  </r>
  <r>
    <x v="2"/>
    <n v="2174"/>
    <n v="658"/>
    <n v="15"/>
    <n v="8.5500000000000007"/>
    <n v="250000"/>
    <n v="1.1388000000000001E-2"/>
  </r>
  <r>
    <x v="4"/>
    <n v="2358"/>
    <n v="784"/>
    <n v="344"/>
    <n v="5.42"/>
    <b v="0"/>
    <m/>
  </r>
  <r>
    <x v="0"/>
    <n v="3371"/>
    <n v="106"/>
    <n v="327"/>
    <n v="3.25"/>
    <n v="150000"/>
    <n v="2.5360000000000001E-2"/>
  </r>
  <r>
    <x v="3"/>
    <n v="1108"/>
    <n v="177"/>
    <n v="212"/>
    <n v="8.84"/>
    <n v="180000"/>
    <n v="8.3166666666666667E-3"/>
  </r>
  <r>
    <x v="4"/>
    <n v="2704"/>
    <n v="752"/>
    <n v="153"/>
    <n v="7.24"/>
    <b v="0"/>
    <m/>
  </r>
  <r>
    <x v="4"/>
    <n v="1950"/>
    <n v="295"/>
    <n v="478"/>
    <n v="6.19"/>
    <b v="0"/>
    <m/>
  </r>
  <r>
    <x v="3"/>
    <n v="2164"/>
    <n v="549"/>
    <n v="274"/>
    <n v="5.71"/>
    <n v="180000"/>
    <n v="1.6594444444444443E-2"/>
  </r>
  <r>
    <x v="2"/>
    <n v="2754"/>
    <n v="130"/>
    <n v="90"/>
    <n v="9.0399999999999991"/>
    <n v="250000"/>
    <n v="1.1896E-2"/>
  </r>
  <r>
    <x v="1"/>
    <n v="2200"/>
    <n v="504"/>
    <n v="239"/>
    <n v="3.91"/>
    <n v="200000"/>
    <n v="1.4715000000000001E-2"/>
  </r>
  <r>
    <x v="3"/>
    <n v="947"/>
    <n v="338"/>
    <n v="350"/>
    <n v="7.83"/>
    <n v="180000"/>
    <n v="9.0833333333333339E-3"/>
  </r>
  <r>
    <x v="4"/>
    <n v="804"/>
    <n v="639"/>
    <n v="43"/>
    <n v="7.16"/>
    <b v="0"/>
    <m/>
  </r>
  <r>
    <x v="1"/>
    <n v="1686"/>
    <n v="904"/>
    <n v="472"/>
    <n v="6.41"/>
    <n v="200000"/>
    <n v="1.5310000000000001E-2"/>
  </r>
  <r>
    <x v="3"/>
    <n v="1226"/>
    <n v="119"/>
    <n v="7"/>
    <n v="8.02"/>
    <n v="180000"/>
    <n v="7.5111111111111108E-3"/>
  </r>
  <r>
    <x v="2"/>
    <n v="2946"/>
    <n v="498"/>
    <n v="367"/>
    <n v="3.86"/>
    <n v="250000"/>
    <n v="1.5244000000000001E-2"/>
  </r>
  <r>
    <x v="0"/>
    <n v="2825"/>
    <n v="535"/>
    <n v="295"/>
    <n v="9.09"/>
    <n v="150000"/>
    <n v="2.4366666666666665E-2"/>
  </r>
  <r>
    <x v="3"/>
    <n v="103"/>
    <n v="770"/>
    <n v="19"/>
    <n v="1.76"/>
    <n v="180000"/>
    <n v="4.9555555555555559E-3"/>
  </r>
  <r>
    <x v="4"/>
    <n v="2180"/>
    <n v="263"/>
    <n v="387"/>
    <n v="9.24"/>
    <b v="0"/>
    <m/>
  </r>
  <r>
    <x v="2"/>
    <n v="904"/>
    <n v="973"/>
    <n v="63"/>
    <n v="8.99"/>
    <n v="250000"/>
    <n v="7.7600000000000004E-3"/>
  </r>
  <r>
    <x v="0"/>
    <n v="4886"/>
    <n v="983"/>
    <n v="409"/>
    <n v="3.4"/>
    <n v="150000"/>
    <n v="4.1853333333333333E-2"/>
  </r>
  <r>
    <x v="2"/>
    <n v="53"/>
    <n v="81"/>
    <n v="379"/>
    <n v="9.1999999999999993"/>
    <n v="250000"/>
    <n v="2.052E-3"/>
  </r>
  <r>
    <x v="2"/>
    <n v="4507"/>
    <n v="217"/>
    <n v="13"/>
    <n v="8.59"/>
    <n v="250000"/>
    <n v="1.8948E-2"/>
  </r>
  <r>
    <x v="2"/>
    <n v="2878"/>
    <n v="248"/>
    <n v="416"/>
    <n v="3.5"/>
    <n v="250000"/>
    <n v="1.4168E-2"/>
  </r>
  <r>
    <x v="4"/>
    <n v="1881"/>
    <n v="501"/>
    <n v="99"/>
    <n v="2.36"/>
    <b v="0"/>
    <m/>
  </r>
  <r>
    <x v="0"/>
    <n v="432"/>
    <n v="171"/>
    <n v="280"/>
    <n v="7.36"/>
    <n v="150000"/>
    <n v="5.8866666666666668E-3"/>
  </r>
  <r>
    <x v="2"/>
    <n v="4712"/>
    <n v="568"/>
    <n v="127"/>
    <n v="8.5500000000000007"/>
    <n v="250000"/>
    <n v="2.1628000000000001E-2"/>
  </r>
  <r>
    <x v="4"/>
    <n v="2610"/>
    <n v="126"/>
    <n v="288"/>
    <n v="8.1300000000000008"/>
    <b v="0"/>
    <m/>
  </r>
  <r>
    <x v="2"/>
    <n v="1292"/>
    <n v="626"/>
    <n v="496"/>
    <n v="3.3"/>
    <n v="250000"/>
    <n v="9.6559999999999997E-3"/>
  </r>
  <r>
    <x v="4"/>
    <n v="199"/>
    <n v="772"/>
    <n v="400"/>
    <n v="1.77"/>
    <b v="0"/>
    <m/>
  </r>
  <r>
    <x v="1"/>
    <n v="2551"/>
    <n v="915"/>
    <n v="205"/>
    <n v="2.09"/>
    <n v="200000"/>
    <n v="1.8355E-2"/>
  </r>
  <r>
    <x v="1"/>
    <n v="296"/>
    <n v="60"/>
    <n v="141"/>
    <n v="7.36"/>
    <n v="200000"/>
    <n v="2.4849999999999998E-3"/>
  </r>
  <r>
    <x v="3"/>
    <n v="4126"/>
    <n v="426"/>
    <n v="486"/>
    <n v="6.25"/>
    <n v="180000"/>
    <n v="2.798888888888889E-2"/>
  </r>
  <r>
    <x v="2"/>
    <n v="1855"/>
    <n v="200"/>
    <n v="174"/>
    <n v="1.75"/>
    <n v="250000"/>
    <n v="8.9160000000000003E-3"/>
  </r>
  <r>
    <x v="3"/>
    <n v="1674"/>
    <n v="929"/>
    <n v="37"/>
    <n v="4.97"/>
    <n v="180000"/>
    <n v="1.4666666666666666E-2"/>
  </r>
  <r>
    <x v="3"/>
    <n v="1121"/>
    <n v="135"/>
    <n v="18"/>
    <n v="9.3000000000000007"/>
    <n v="180000"/>
    <n v="7.0777777777777775E-3"/>
  </r>
  <r>
    <x v="4"/>
    <n v="1249"/>
    <n v="116"/>
    <n v="420"/>
    <n v="8.9"/>
    <b v="0"/>
    <m/>
  </r>
  <r>
    <x v="3"/>
    <n v="954"/>
    <n v="324"/>
    <n v="288"/>
    <n v="3.88"/>
    <n v="180000"/>
    <n v="8.6999999999999994E-3"/>
  </r>
  <r>
    <x v="1"/>
    <n v="3068"/>
    <n v="137"/>
    <n v="329"/>
    <n v="5.9"/>
    <n v="200000"/>
    <n v="1.7670000000000002E-2"/>
  </r>
  <r>
    <x v="4"/>
    <n v="2103"/>
    <n v="892"/>
    <n v="103"/>
    <n v="1.53"/>
    <b v="0"/>
    <m/>
  </r>
  <r>
    <x v="2"/>
    <n v="1816"/>
    <n v="29"/>
    <n v="41"/>
    <n v="6.5"/>
    <n v="250000"/>
    <n v="7.5440000000000004E-3"/>
  </r>
  <r>
    <x v="2"/>
    <n v="725"/>
    <n v="88"/>
    <n v="428"/>
    <n v="3.16"/>
    <n v="250000"/>
    <n v="4.9639999999999997E-3"/>
  </r>
  <r>
    <x v="4"/>
    <n v="1094"/>
    <n v="472"/>
    <n v="21"/>
    <n v="8.25"/>
    <b v="0"/>
    <m/>
  </r>
  <r>
    <x v="3"/>
    <n v="1841"/>
    <n v="851"/>
    <n v="342"/>
    <n v="5.41"/>
    <n v="180000"/>
    <n v="1.6855555555555554E-2"/>
  </r>
  <r>
    <x v="0"/>
    <n v="4177"/>
    <n v="569"/>
    <n v="55"/>
    <n v="5.85"/>
    <n v="150000"/>
    <n v="3.2006666666666669E-2"/>
  </r>
  <r>
    <x v="3"/>
    <n v="3428"/>
    <n v="305"/>
    <n v="85"/>
    <n v="4.46"/>
    <n v="180000"/>
    <n v="2.1211111111111111E-2"/>
  </r>
  <r>
    <x v="2"/>
    <n v="1436"/>
    <n v="765"/>
    <n v="496"/>
    <n v="5.22"/>
    <n v="250000"/>
    <n v="1.0788000000000001E-2"/>
  </r>
  <r>
    <x v="3"/>
    <n v="302"/>
    <n v="47"/>
    <n v="430"/>
    <n v="1.99"/>
    <n v="180000"/>
    <n v="4.3277777777777776E-3"/>
  </r>
  <r>
    <x v="4"/>
    <n v="2214"/>
    <n v="249"/>
    <n v="152"/>
    <n v="6.85"/>
    <b v="0"/>
    <m/>
  </r>
  <r>
    <x v="3"/>
    <n v="3861"/>
    <n v="960"/>
    <n v="101"/>
    <n v="3.32"/>
    <n v="180000"/>
    <n v="2.7344444444444446E-2"/>
  </r>
  <r>
    <x v="3"/>
    <n v="1263"/>
    <n v="397"/>
    <n v="357"/>
    <n v="5.68"/>
    <n v="180000"/>
    <n v="1.1205555555555555E-2"/>
  </r>
  <r>
    <x v="2"/>
    <n v="3801"/>
    <n v="967"/>
    <n v="401"/>
    <n v="6.08"/>
    <n v="250000"/>
    <n v="2.0676E-2"/>
  </r>
  <r>
    <x v="2"/>
    <n v="1431"/>
    <n v="951"/>
    <n v="26"/>
    <n v="4.66"/>
    <n v="250000"/>
    <n v="9.6319999999999999E-3"/>
  </r>
  <r>
    <x v="2"/>
    <n v="2647"/>
    <n v="304"/>
    <n v="170"/>
    <n v="8.6999999999999993"/>
    <n v="250000"/>
    <n v="1.2484E-2"/>
  </r>
  <r>
    <x v="3"/>
    <n v="3182"/>
    <n v="559"/>
    <n v="160"/>
    <n v="2.46"/>
    <n v="180000"/>
    <n v="2.1672222222222221E-2"/>
  </r>
  <r>
    <x v="4"/>
    <n v="1238"/>
    <n v="366"/>
    <n v="444"/>
    <n v="7.97"/>
    <b v="0"/>
    <m/>
  </r>
  <r>
    <x v="1"/>
    <n v="4739"/>
    <n v="527"/>
    <n v="135"/>
    <n v="9.41"/>
    <n v="200000"/>
    <n v="2.7005000000000001E-2"/>
  </r>
  <r>
    <x v="3"/>
    <n v="1575"/>
    <n v="771"/>
    <n v="486"/>
    <n v="2.68"/>
    <n v="180000"/>
    <n v="1.5733333333333332E-2"/>
  </r>
  <r>
    <x v="2"/>
    <n v="4171"/>
    <n v="548"/>
    <n v="86"/>
    <n v="7.32"/>
    <n v="250000"/>
    <n v="1.9220000000000001E-2"/>
  </r>
  <r>
    <x v="4"/>
    <n v="1766"/>
    <n v="92"/>
    <n v="424"/>
    <n v="4.68"/>
    <b v="0"/>
    <m/>
  </r>
  <r>
    <x v="2"/>
    <n v="4450"/>
    <n v="983"/>
    <n v="143"/>
    <n v="5.17"/>
    <n v="250000"/>
    <n v="2.2304000000000001E-2"/>
  </r>
  <r>
    <x v="1"/>
    <n v="1000"/>
    <n v="978"/>
    <n v="162"/>
    <n v="6.2"/>
    <n v="200000"/>
    <n v="1.0699999999999999E-2"/>
  </r>
  <r>
    <x v="1"/>
    <n v="3689"/>
    <n v="48"/>
    <n v="306"/>
    <n v="2.69"/>
    <n v="200000"/>
    <n v="2.0215E-2"/>
  </r>
  <r>
    <x v="2"/>
    <n v="3655"/>
    <n v="568"/>
    <n v="286"/>
    <n v="8.9"/>
    <n v="250000"/>
    <n v="1.8036E-2"/>
  </r>
  <r>
    <x v="0"/>
    <n v="498"/>
    <n v="38"/>
    <n v="42"/>
    <n v="3.79"/>
    <n v="150000"/>
    <n v="3.8533333333333332E-3"/>
  </r>
  <r>
    <x v="3"/>
    <n v="4619"/>
    <n v="821"/>
    <n v="499"/>
    <n v="4.79"/>
    <n v="180000"/>
    <n v="3.2994444444444444E-2"/>
  </r>
  <r>
    <x v="4"/>
    <n v="4832"/>
    <n v="893"/>
    <n v="10"/>
    <n v="6.37"/>
    <b v="0"/>
    <m/>
  </r>
  <r>
    <x v="1"/>
    <n v="4050"/>
    <n v="871"/>
    <n v="347"/>
    <n v="2.65"/>
    <n v="200000"/>
    <n v="2.6339999999999999E-2"/>
  </r>
  <r>
    <x v="2"/>
    <n v="3649"/>
    <n v="215"/>
    <n v="413"/>
    <n v="1.81"/>
    <n v="250000"/>
    <n v="1.7108000000000002E-2"/>
  </r>
  <r>
    <x v="1"/>
    <n v="3523"/>
    <n v="753"/>
    <n v="482"/>
    <n v="7.47"/>
    <n v="200000"/>
    <n v="2.3789999999999999E-2"/>
  </r>
  <r>
    <x v="1"/>
    <n v="2719"/>
    <n v="17"/>
    <n v="285"/>
    <n v="4.2"/>
    <n v="200000"/>
    <n v="1.5105E-2"/>
  </r>
  <r>
    <x v="2"/>
    <n v="1957"/>
    <n v="877"/>
    <n v="238"/>
    <n v="5.43"/>
    <n v="250000"/>
    <n v="1.2288E-2"/>
  </r>
  <r>
    <x v="0"/>
    <n v="4419"/>
    <n v="236"/>
    <n v="369"/>
    <n v="3.32"/>
    <n v="150000"/>
    <n v="3.3493333333333333E-2"/>
  </r>
  <r>
    <x v="0"/>
    <n v="4000"/>
    <n v="689"/>
    <n v="488"/>
    <n v="8.11"/>
    <n v="150000"/>
    <n v="3.4513333333333333E-2"/>
  </r>
  <r>
    <x v="3"/>
    <n v="2493"/>
    <n v="97"/>
    <n v="44"/>
    <n v="6.66"/>
    <n v="180000"/>
    <n v="1.4633333333333333E-2"/>
  </r>
  <r>
    <x v="4"/>
    <n v="3704"/>
    <n v="186"/>
    <n v="458"/>
    <n v="8.09"/>
    <b v="0"/>
    <m/>
  </r>
  <r>
    <x v="3"/>
    <n v="1606"/>
    <n v="451"/>
    <n v="405"/>
    <n v="8.44"/>
    <n v="180000"/>
    <n v="1.3677777777777778E-2"/>
  </r>
  <r>
    <x v="2"/>
    <n v="4551"/>
    <n v="714"/>
    <n v="207"/>
    <n v="2.02"/>
    <n v="250000"/>
    <n v="2.1888000000000001E-2"/>
  </r>
  <r>
    <x v="4"/>
    <n v="1970"/>
    <n v="675"/>
    <n v="478"/>
    <n v="7.74"/>
    <b v="0"/>
    <m/>
  </r>
  <r>
    <x v="2"/>
    <n v="780"/>
    <n v="928"/>
    <n v="301"/>
    <n v="2.89"/>
    <n v="250000"/>
    <n v="8.0359999999999997E-3"/>
  </r>
  <r>
    <x v="4"/>
    <n v="498"/>
    <n v="701"/>
    <n v="412"/>
    <n v="1.76"/>
    <b v="0"/>
    <m/>
  </r>
  <r>
    <x v="1"/>
    <n v="3432"/>
    <n v="869"/>
    <n v="123"/>
    <n v="3.09"/>
    <n v="200000"/>
    <n v="2.2120000000000001E-2"/>
  </r>
  <r>
    <x v="0"/>
    <n v="4363"/>
    <n v="649"/>
    <n v="140"/>
    <n v="4.68"/>
    <n v="150000"/>
    <n v="3.4346666666666664E-2"/>
  </r>
  <r>
    <x v="0"/>
    <n v="736"/>
    <n v="771"/>
    <n v="225"/>
    <n v="4.4800000000000004"/>
    <n v="150000"/>
    <n v="1.1546666666666667E-2"/>
  </r>
  <r>
    <x v="3"/>
    <n v="3811"/>
    <n v="866"/>
    <n v="216"/>
    <n v="5.3"/>
    <n v="180000"/>
    <n v="2.7183333333333334E-2"/>
  </r>
  <r>
    <x v="4"/>
    <n v="4158"/>
    <n v="167"/>
    <n v="241"/>
    <n v="8.1999999999999993"/>
    <b v="0"/>
    <m/>
  </r>
  <r>
    <x v="2"/>
    <n v="3452"/>
    <n v="652"/>
    <n v="442"/>
    <n v="2.2200000000000002"/>
    <n v="250000"/>
    <n v="1.8183999999999999E-2"/>
  </r>
  <r>
    <x v="4"/>
    <n v="3092"/>
    <n v="106"/>
    <n v="291"/>
    <n v="8.33"/>
    <b v="0"/>
    <m/>
  </r>
  <r>
    <x v="4"/>
    <n v="2147"/>
    <n v="430"/>
    <n v="393"/>
    <n v="3.3"/>
    <b v="0"/>
    <m/>
  </r>
  <r>
    <x v="3"/>
    <n v="2936"/>
    <n v="439"/>
    <n v="44"/>
    <n v="5.61"/>
    <n v="180000"/>
    <n v="1.8994444444444446E-2"/>
  </r>
  <r>
    <x v="2"/>
    <n v="4840"/>
    <n v="658"/>
    <n v="211"/>
    <n v="2.56"/>
    <n v="250000"/>
    <n v="2.2835999999999999E-2"/>
  </r>
  <r>
    <x v="1"/>
    <n v="1947"/>
    <n v="842"/>
    <n v="101"/>
    <n v="3.29"/>
    <n v="200000"/>
    <n v="1.4449999999999999E-2"/>
  </r>
  <r>
    <x v="3"/>
    <n v="2072"/>
    <n v="532"/>
    <n v="71"/>
    <n v="9.24"/>
    <n v="180000"/>
    <n v="1.4861111111111111E-2"/>
  </r>
  <r>
    <x v="0"/>
    <n v="3731"/>
    <n v="115"/>
    <n v="135"/>
    <n v="4.51"/>
    <n v="150000"/>
    <n v="2.6540000000000001E-2"/>
  </r>
  <r>
    <x v="3"/>
    <n v="4213"/>
    <n v="253"/>
    <n v="434"/>
    <n v="5.23"/>
    <n v="180000"/>
    <n v="2.7222222222222221E-2"/>
  </r>
  <r>
    <x v="3"/>
    <n v="3134"/>
    <n v="888"/>
    <n v="444"/>
    <n v="4.68"/>
    <n v="180000"/>
    <n v="2.481111111111111E-2"/>
  </r>
  <r>
    <x v="4"/>
    <n v="3008"/>
    <n v="94"/>
    <n v="37"/>
    <n v="9.23"/>
    <b v="0"/>
    <m/>
  </r>
  <r>
    <x v="2"/>
    <n v="305"/>
    <n v="187"/>
    <n v="243"/>
    <n v="6.37"/>
    <n v="250000"/>
    <n v="2.9399999999999999E-3"/>
  </r>
  <r>
    <x v="0"/>
    <n v="2746"/>
    <n v="156"/>
    <n v="203"/>
    <n v="2.0099999999999998"/>
    <n v="150000"/>
    <n v="2.07E-2"/>
  </r>
  <r>
    <x v="1"/>
    <n v="2291"/>
    <n v="78"/>
    <n v="485"/>
    <n v="3.72"/>
    <n v="200000"/>
    <n v="1.427E-2"/>
  </r>
  <r>
    <x v="4"/>
    <n v="3170"/>
    <n v="857"/>
    <n v="379"/>
    <n v="3.89"/>
    <b v="0"/>
    <m/>
  </r>
  <r>
    <x v="3"/>
    <n v="2070"/>
    <n v="275"/>
    <n v="386"/>
    <n v="8.6999999999999993"/>
    <n v="180000"/>
    <n v="1.5172222222222222E-2"/>
  </r>
  <r>
    <x v="2"/>
    <n v="80"/>
    <n v="362"/>
    <n v="80"/>
    <n v="6.95"/>
    <n v="250000"/>
    <n v="2.088E-3"/>
  </r>
  <r>
    <x v="3"/>
    <n v="4929"/>
    <n v="749"/>
    <n v="452"/>
    <n v="9.48"/>
    <n v="180000"/>
    <n v="3.4055555555555554E-2"/>
  </r>
  <r>
    <x v="3"/>
    <n v="1878"/>
    <n v="62"/>
    <n v="179"/>
    <n v="4.6100000000000003"/>
    <n v="180000"/>
    <n v="1.1772222222222222E-2"/>
  </r>
  <r>
    <x v="4"/>
    <n v="3065"/>
    <n v="772"/>
    <n v="142"/>
    <n v="8.0299999999999994"/>
    <b v="0"/>
    <m/>
  </r>
  <r>
    <x v="1"/>
    <n v="3256"/>
    <n v="459"/>
    <n v="266"/>
    <n v="6.99"/>
    <n v="200000"/>
    <n v="1.9904999999999999E-2"/>
  </r>
  <r>
    <x v="3"/>
    <n v="4133"/>
    <n v="466"/>
    <n v="327"/>
    <n v="9.0299999999999994"/>
    <n v="180000"/>
    <n v="2.7366666666666668E-2"/>
  </r>
  <r>
    <x v="0"/>
    <n v="1702"/>
    <n v="750"/>
    <n v="179"/>
    <n v="2.86"/>
    <n v="150000"/>
    <n v="1.754E-2"/>
  </r>
  <r>
    <x v="3"/>
    <n v="4295"/>
    <n v="853"/>
    <n v="325"/>
    <n v="3.85"/>
    <n v="180000"/>
    <n v="3.0405555555555557E-2"/>
  </r>
  <r>
    <x v="0"/>
    <n v="3559"/>
    <n v="59"/>
    <n v="289"/>
    <n v="7.3"/>
    <n v="150000"/>
    <n v="2.6046666666666666E-2"/>
  </r>
  <r>
    <x v="3"/>
    <n v="4804"/>
    <n v="550"/>
    <n v="270"/>
    <n v="9.08"/>
    <n v="180000"/>
    <n v="3.1244444444444443E-2"/>
  </r>
  <r>
    <x v="2"/>
    <n v="754"/>
    <n v="197"/>
    <n v="257"/>
    <n v="4.34"/>
    <n v="250000"/>
    <n v="4.8320000000000004E-3"/>
  </r>
  <r>
    <x v="3"/>
    <n v="985"/>
    <n v="932"/>
    <n v="287"/>
    <n v="7.8"/>
    <n v="180000"/>
    <n v="1.2244444444444445E-2"/>
  </r>
  <r>
    <x v="1"/>
    <n v="2283"/>
    <n v="210"/>
    <n v="130"/>
    <n v="3.85"/>
    <n v="200000"/>
    <n v="1.3115E-2"/>
  </r>
  <r>
    <x v="1"/>
    <n v="3352"/>
    <n v="941"/>
    <n v="482"/>
    <n v="6.58"/>
    <n v="200000"/>
    <n v="2.3875E-2"/>
  </r>
  <r>
    <x v="1"/>
    <n v="4775"/>
    <n v="173"/>
    <n v="206"/>
    <n v="8.6199999999999992"/>
    <n v="200000"/>
    <n v="2.5770000000000001E-2"/>
  </r>
  <r>
    <x v="0"/>
    <n v="1762"/>
    <n v="405"/>
    <n v="423"/>
    <n v="4.55"/>
    <n v="150000"/>
    <n v="1.7266666666666666E-2"/>
  </r>
  <r>
    <x v="1"/>
    <n v="2120"/>
    <n v="158"/>
    <n v="488"/>
    <n v="8.33"/>
    <n v="200000"/>
    <n v="1.383E-2"/>
  </r>
  <r>
    <x v="4"/>
    <n v="1082"/>
    <n v="209"/>
    <n v="484"/>
    <n v="9.4"/>
    <b v="0"/>
    <m/>
  </r>
  <r>
    <x v="3"/>
    <n v="4671"/>
    <n v="876"/>
    <n v="366"/>
    <n v="7.23"/>
    <n v="180000"/>
    <n v="3.2849999999999997E-2"/>
  </r>
  <r>
    <x v="4"/>
    <n v="3430"/>
    <n v="566"/>
    <n v="164"/>
    <n v="9.39"/>
    <b v="0"/>
    <m/>
  </r>
  <r>
    <x v="1"/>
    <n v="4501"/>
    <n v="375"/>
    <n v="323"/>
    <n v="5.12"/>
    <n v="200000"/>
    <n v="2.5995000000000001E-2"/>
  </r>
  <r>
    <x v="3"/>
    <n v="4934"/>
    <n v="971"/>
    <n v="156"/>
    <n v="6.11"/>
    <n v="180000"/>
    <n v="3.3672222222222221E-2"/>
  </r>
  <r>
    <x v="1"/>
    <n v="3239"/>
    <n v="43"/>
    <n v="211"/>
    <n v="7.74"/>
    <n v="200000"/>
    <n v="1.7465000000000001E-2"/>
  </r>
  <r>
    <x v="0"/>
    <n v="1076"/>
    <n v="313"/>
    <n v="306"/>
    <n v="4.9400000000000004"/>
    <n v="150000"/>
    <n v="1.1299999999999999E-2"/>
  </r>
  <r>
    <x v="4"/>
    <n v="4771"/>
    <n v="818"/>
    <n v="56"/>
    <n v="1.8"/>
    <b v="0"/>
    <m/>
  </r>
  <r>
    <x v="0"/>
    <n v="2418"/>
    <n v="754"/>
    <n v="54"/>
    <n v="8.64"/>
    <n v="150000"/>
    <n v="2.1506666666666667E-2"/>
  </r>
  <r>
    <x v="0"/>
    <n v="3809"/>
    <n v="273"/>
    <n v="200"/>
    <n v="1.53"/>
    <n v="150000"/>
    <n v="2.8546666666666668E-2"/>
  </r>
  <r>
    <x v="2"/>
    <n v="3577"/>
    <n v="596"/>
    <n v="493"/>
    <n v="8.52"/>
    <n v="250000"/>
    <n v="1.8664E-2"/>
  </r>
  <r>
    <x v="1"/>
    <n v="1018"/>
    <n v="447"/>
    <n v="332"/>
    <n v="5.53"/>
    <n v="200000"/>
    <n v="8.9849999999999999E-3"/>
  </r>
  <r>
    <x v="2"/>
    <n v="3073"/>
    <n v="553"/>
    <n v="174"/>
    <n v="1.87"/>
    <n v="250000"/>
    <n v="1.52E-2"/>
  </r>
  <r>
    <x v="2"/>
    <n v="1330"/>
    <n v="925"/>
    <n v="35"/>
    <n v="6.27"/>
    <n v="250000"/>
    <n v="9.1599999999999997E-3"/>
  </r>
  <r>
    <x v="4"/>
    <n v="3828"/>
    <n v="148"/>
    <n v="253"/>
    <n v="9.4600000000000009"/>
    <b v="0"/>
    <m/>
  </r>
  <r>
    <x v="3"/>
    <n v="142"/>
    <n v="784"/>
    <n v="183"/>
    <n v="7.5"/>
    <n v="180000"/>
    <n v="6.1611111111111111E-3"/>
  </r>
  <r>
    <x v="0"/>
    <n v="3798"/>
    <n v="31"/>
    <n v="279"/>
    <n v="4.7300000000000004"/>
    <n v="150000"/>
    <n v="2.7386666666666667E-2"/>
  </r>
  <r>
    <x v="2"/>
    <n v="3099"/>
    <n v="694"/>
    <n v="171"/>
    <n v="3.19"/>
    <n v="250000"/>
    <n v="1.5855999999999999E-2"/>
  </r>
  <r>
    <x v="3"/>
    <n v="129"/>
    <n v="643"/>
    <n v="136"/>
    <n v="2.4900000000000002"/>
    <n v="180000"/>
    <n v="5.0444444444444443E-3"/>
  </r>
  <r>
    <x v="4"/>
    <n v="3796"/>
    <n v="667"/>
    <n v="395"/>
    <n v="4.5"/>
    <b v="0"/>
    <m/>
  </r>
  <r>
    <x v="0"/>
    <n v="3711"/>
    <n v="352"/>
    <n v="290"/>
    <n v="6.49"/>
    <n v="150000"/>
    <n v="2.9020000000000001E-2"/>
  </r>
  <r>
    <x v="2"/>
    <n v="606"/>
    <n v="789"/>
    <n v="470"/>
    <n v="6.73"/>
    <n v="250000"/>
    <n v="7.4599999999999996E-3"/>
  </r>
  <r>
    <x v="3"/>
    <n v="4689"/>
    <n v="134"/>
    <n v="403"/>
    <n v="4.83"/>
    <n v="180000"/>
    <n v="2.9033333333333335E-2"/>
  </r>
  <r>
    <x v="1"/>
    <n v="360"/>
    <n v="590"/>
    <n v="393"/>
    <n v="5.3"/>
    <n v="200000"/>
    <n v="6.7149999999999996E-3"/>
  </r>
  <r>
    <x v="0"/>
    <n v="3215"/>
    <n v="960"/>
    <n v="202"/>
    <n v="6.54"/>
    <n v="150000"/>
    <n v="2.9180000000000001E-2"/>
  </r>
  <r>
    <x v="4"/>
    <n v="4523"/>
    <n v="61"/>
    <n v="157"/>
    <n v="6.8"/>
    <b v="0"/>
    <m/>
  </r>
  <r>
    <x v="2"/>
    <n v="4292"/>
    <n v="51"/>
    <n v="392"/>
    <n v="2.6"/>
    <n v="250000"/>
    <n v="1.8939999999999999E-2"/>
  </r>
  <r>
    <x v="2"/>
    <n v="1644"/>
    <n v="546"/>
    <n v="150"/>
    <n v="2.44"/>
    <n v="250000"/>
    <n v="9.3600000000000003E-3"/>
  </r>
  <r>
    <x v="1"/>
    <n v="2728"/>
    <n v="533"/>
    <n v="215"/>
    <n v="3.09"/>
    <n v="200000"/>
    <n v="1.738E-2"/>
  </r>
  <r>
    <x v="0"/>
    <n v="3360"/>
    <n v="525"/>
    <n v="500"/>
    <n v="5.69"/>
    <n v="150000"/>
    <n v="2.9233333333333333E-2"/>
  </r>
  <r>
    <x v="4"/>
    <n v="1963"/>
    <n v="213"/>
    <n v="19"/>
    <n v="3.86"/>
    <b v="0"/>
    <m/>
  </r>
  <r>
    <x v="2"/>
    <n v="4285"/>
    <n v="886"/>
    <n v="376"/>
    <n v="3.16"/>
    <n v="250000"/>
    <n v="2.2187999999999999E-2"/>
  </r>
  <r>
    <x v="4"/>
    <n v="1176"/>
    <n v="464"/>
    <n v="394"/>
    <n v="1.6"/>
    <b v="0"/>
    <m/>
  </r>
  <r>
    <x v="2"/>
    <n v="4858"/>
    <n v="317"/>
    <n v="129"/>
    <n v="6.09"/>
    <n v="250000"/>
    <n v="2.1215999999999999E-2"/>
  </r>
  <r>
    <x v="0"/>
    <n v="4350"/>
    <n v="771"/>
    <n v="7"/>
    <n v="5.59"/>
    <n v="150000"/>
    <n v="3.4186666666666664E-2"/>
  </r>
  <r>
    <x v="3"/>
    <n v="914"/>
    <n v="464"/>
    <n v="246"/>
    <n v="3.55"/>
    <n v="180000"/>
    <n v="9.0222222222222214E-3"/>
  </r>
  <r>
    <x v="2"/>
    <n v="1813"/>
    <n v="623"/>
    <n v="72"/>
    <n v="5.21"/>
    <n v="250000"/>
    <n v="1.0031999999999999E-2"/>
  </r>
  <r>
    <x v="0"/>
    <n v="4782"/>
    <n v="721"/>
    <n v="82"/>
    <n v="1.82"/>
    <n v="150000"/>
    <n v="3.7233333333333334E-2"/>
  </r>
  <r>
    <x v="2"/>
    <n v="1048"/>
    <n v="374"/>
    <n v="450"/>
    <n v="4"/>
    <n v="250000"/>
    <n v="7.4879999999999999E-3"/>
  </r>
  <r>
    <x v="1"/>
    <n v="2509"/>
    <n v="324"/>
    <n v="171"/>
    <n v="7.57"/>
    <n v="200000"/>
    <n v="1.502E-2"/>
  </r>
  <r>
    <x v="1"/>
    <n v="3718"/>
    <n v="385"/>
    <n v="310"/>
    <n v="6.81"/>
    <n v="200000"/>
    <n v="2.2065000000000001E-2"/>
  </r>
  <r>
    <x v="0"/>
    <n v="802"/>
    <n v="262"/>
    <n v="244"/>
    <m/>
    <n v="150000"/>
    <n v="8.7200000000000003E-3"/>
  </r>
  <r>
    <x v="2"/>
    <n v="1871"/>
    <n v="252"/>
    <n v="335"/>
    <m/>
    <n v="250000"/>
    <n v="9.8320000000000005E-3"/>
  </r>
  <r>
    <x v="0"/>
    <n v="3773"/>
    <n v="299"/>
    <n v="38"/>
    <m/>
    <n v="150000"/>
    <n v="2.7400000000000001E-2"/>
  </r>
  <r>
    <x v="2"/>
    <n v="2234"/>
    <n v="653"/>
    <n v="432"/>
    <m/>
    <n v="250000"/>
    <n v="1.3276E-2"/>
  </r>
  <r>
    <x v="3"/>
    <n v="3820"/>
    <n v="697"/>
    <n v="268"/>
    <m/>
    <n v="180000"/>
    <n v="2.6583333333333334E-2"/>
  </r>
  <r>
    <x v="0"/>
    <n v="941"/>
    <n v="121"/>
    <n v="458"/>
    <m/>
    <n v="150000"/>
    <n v="1.0133333333333333E-2"/>
  </r>
  <r>
    <x v="2"/>
    <n v="4274"/>
    <n v="340"/>
    <n v="281"/>
    <m/>
    <n v="250000"/>
    <n v="1.958E-2"/>
  </r>
  <r>
    <x v="1"/>
    <n v="2949"/>
    <n v="476"/>
    <n v="403"/>
    <m/>
    <n v="200000"/>
    <n v="1.9140000000000001E-2"/>
  </r>
  <r>
    <x v="3"/>
    <n v="3160"/>
    <n v="204"/>
    <n v="297"/>
    <m/>
    <n v="180000"/>
    <n v="2.0338888888888889E-2"/>
  </r>
  <r>
    <x v="0"/>
    <n v="257"/>
    <n v="966"/>
    <n v="398"/>
    <m/>
    <n v="150000"/>
    <n v="1.0806666666666666E-2"/>
  </r>
  <r>
    <x v="3"/>
    <n v="2120"/>
    <n v="38"/>
    <n v="212"/>
    <m/>
    <n v="180000"/>
    <n v="1.3166666666666667E-2"/>
  </r>
  <r>
    <x v="1"/>
    <n v="3874"/>
    <n v="884"/>
    <n v="19"/>
    <m/>
    <n v="200000"/>
    <n v="2.3885E-2"/>
  </r>
  <r>
    <x v="3"/>
    <n v="2696"/>
    <n v="628"/>
    <n v="443"/>
    <m/>
    <n v="180000"/>
    <n v="2.0927777777777778E-2"/>
  </r>
  <r>
    <x v="1"/>
    <n v="521"/>
    <n v="746"/>
    <n v="315"/>
    <m/>
    <n v="200000"/>
    <n v="7.9100000000000004E-3"/>
  </r>
  <r>
    <x v="1"/>
    <n v="4872"/>
    <n v="925"/>
    <n v="176"/>
    <m/>
    <n v="200000"/>
    <n v="2.9864999999999999E-2"/>
  </r>
  <r>
    <x v="1"/>
    <n v="1509"/>
    <n v="88"/>
    <n v="163"/>
    <m/>
    <n v="200000"/>
    <n v="8.8000000000000005E-3"/>
  </r>
  <r>
    <x v="4"/>
    <n v="4606"/>
    <n v="931"/>
    <n v="230"/>
    <m/>
    <b v="0"/>
    <m/>
  </r>
  <r>
    <x v="3"/>
    <n v="1869"/>
    <n v="453"/>
    <n v="490"/>
    <m/>
    <n v="180000"/>
    <n v="1.5622222222222221E-2"/>
  </r>
  <r>
    <x v="3"/>
    <n v="1188"/>
    <n v="470"/>
    <n v="174"/>
    <m/>
    <n v="180000"/>
    <n v="1.0177777777777779E-2"/>
  </r>
  <r>
    <x v="4"/>
    <n v="84"/>
    <n v="897"/>
    <n v="85"/>
    <m/>
    <b v="0"/>
    <m/>
  </r>
  <r>
    <x v="4"/>
    <n v="4453"/>
    <n v="111"/>
    <n v="420"/>
    <m/>
    <b v="0"/>
    <m/>
  </r>
  <r>
    <x v="0"/>
    <n v="1814"/>
    <n v="653"/>
    <n v="363"/>
    <m/>
    <n v="150000"/>
    <n v="1.8866666666666667E-2"/>
  </r>
  <r>
    <x v="4"/>
    <n v="3338"/>
    <n v="277"/>
    <n v="118"/>
    <m/>
    <b v="0"/>
    <m/>
  </r>
  <r>
    <x v="2"/>
    <n v="602"/>
    <n v="594"/>
    <n v="156"/>
    <m/>
    <n v="250000"/>
    <n v="5.4079999999999996E-3"/>
  </r>
  <r>
    <x v="4"/>
    <n v="4672"/>
    <n v="325"/>
    <n v="32"/>
    <m/>
    <b v="0"/>
    <m/>
  </r>
  <r>
    <x v="4"/>
    <n v="1741"/>
    <n v="164"/>
    <n v="318"/>
    <m/>
    <b v="0"/>
    <m/>
  </r>
  <r>
    <x v="2"/>
    <n v="246"/>
    <n v="149"/>
    <n v="130"/>
    <m/>
    <n v="250000"/>
    <n v="2.0999999999999999E-3"/>
  </r>
  <r>
    <x v="0"/>
    <n v="4808"/>
    <n v="772"/>
    <n v="320"/>
    <m/>
    <n v="150000"/>
    <n v="3.9333333333333331E-2"/>
  </r>
  <r>
    <x v="4"/>
    <n v="4799"/>
    <n v="694"/>
    <n v="289"/>
    <m/>
    <b v="0"/>
    <m/>
  </r>
  <r>
    <x v="2"/>
    <n v="3663"/>
    <n v="17"/>
    <n v="295"/>
    <m/>
    <n v="250000"/>
    <n v="1.5900000000000001E-2"/>
  </r>
  <r>
    <x v="0"/>
    <n v="1430"/>
    <n v="376"/>
    <n v="33"/>
    <m/>
    <n v="150000"/>
    <n v="1.226E-2"/>
  </r>
  <r>
    <x v="3"/>
    <n v="249"/>
    <n v="592"/>
    <n v="230"/>
    <m/>
    <n v="180000"/>
    <n v="5.9500000000000004E-3"/>
  </r>
  <r>
    <x v="3"/>
    <n v="2382"/>
    <n v="265"/>
    <n v="134"/>
    <m/>
    <n v="180000"/>
    <n v="1.545E-2"/>
  </r>
  <r>
    <x v="4"/>
    <n v="1272"/>
    <n v="465"/>
    <n v="99"/>
    <m/>
    <b v="0"/>
    <m/>
  </r>
  <r>
    <x v="2"/>
    <n v="3196"/>
    <n v="941"/>
    <n v="376"/>
    <m/>
    <n v="250000"/>
    <n v="1.8051999999999999E-2"/>
  </r>
  <r>
    <x v="1"/>
    <n v="1257"/>
    <n v="19"/>
    <n v="351"/>
    <m/>
    <n v="200000"/>
    <n v="8.1349999999999999E-3"/>
  </r>
  <r>
    <x v="0"/>
    <n v="3770"/>
    <n v="917"/>
    <n v="129"/>
    <m/>
    <n v="150000"/>
    <n v="3.2106666666666665E-2"/>
  </r>
  <r>
    <x v="3"/>
    <n v="4725"/>
    <n v="400"/>
    <n v="362"/>
    <m/>
    <n v="180000"/>
    <n v="3.0483333333333335E-2"/>
  </r>
  <r>
    <x v="4"/>
    <n v="4188"/>
    <n v="942"/>
    <n v="118"/>
    <m/>
    <b v="0"/>
    <m/>
  </r>
  <r>
    <x v="2"/>
    <n v="929"/>
    <n v="192"/>
    <n v="322"/>
    <m/>
    <n v="250000"/>
    <n v="5.7720000000000002E-3"/>
  </r>
  <r>
    <x v="3"/>
    <n v="4321"/>
    <n v="874"/>
    <n v="172"/>
    <m/>
    <n v="180000"/>
    <n v="2.9816666666666668E-2"/>
  </r>
  <r>
    <x v="2"/>
    <n v="4767"/>
    <n v="190"/>
    <n v="340"/>
    <m/>
    <n v="250000"/>
    <n v="2.1187999999999999E-2"/>
  </r>
  <r>
    <x v="3"/>
    <n v="3592"/>
    <n v="911"/>
    <n v="375"/>
    <m/>
    <n v="180000"/>
    <n v="2.7099999999999999E-2"/>
  </r>
  <r>
    <x v="2"/>
    <n v="4661"/>
    <n v="935"/>
    <n v="433"/>
    <m/>
    <n v="250000"/>
    <n v="2.4115999999999999E-2"/>
  </r>
  <r>
    <x v="0"/>
    <n v="4134"/>
    <n v="824"/>
    <n v="99"/>
    <m/>
    <n v="150000"/>
    <n v="3.3713333333333331E-2"/>
  </r>
  <r>
    <x v="1"/>
    <n v="400"/>
    <n v="680"/>
    <n v="434"/>
    <m/>
    <n v="200000"/>
    <n v="7.5700000000000003E-3"/>
  </r>
  <r>
    <x v="4"/>
    <n v="3960"/>
    <n v="266"/>
    <n v="8"/>
    <m/>
    <b v="0"/>
    <m/>
  </r>
  <r>
    <x v="4"/>
    <n v="886"/>
    <n v="126"/>
    <n v="153"/>
    <m/>
    <b v="0"/>
    <m/>
  </r>
  <r>
    <x v="1"/>
    <n v="827"/>
    <n v="77"/>
    <n v="402"/>
    <m/>
    <n v="200000"/>
    <n v="6.5300000000000002E-3"/>
  </r>
  <r>
    <x v="4"/>
    <n v="3813"/>
    <n v="935"/>
    <n v="274"/>
    <m/>
    <b v="0"/>
    <m/>
  </r>
  <r>
    <x v="4"/>
    <n v="1377"/>
    <n v="796"/>
    <n v="387"/>
    <m/>
    <b v="0"/>
    <m/>
  </r>
  <r>
    <x v="2"/>
    <n v="2089"/>
    <n v="476"/>
    <n v="69"/>
    <m/>
    <n v="250000"/>
    <n v="1.0536E-2"/>
  </r>
  <r>
    <x v="4"/>
    <n v="3791"/>
    <n v="593"/>
    <n v="228"/>
    <m/>
    <b v="0"/>
    <m/>
  </r>
  <r>
    <x v="1"/>
    <n v="2692"/>
    <n v="115"/>
    <n v="64"/>
    <m/>
    <n v="200000"/>
    <n v="1.4355E-2"/>
  </r>
  <r>
    <x v="3"/>
    <n v="3767"/>
    <n v="514"/>
    <n v="238"/>
    <m/>
    <n v="180000"/>
    <n v="2.5105555555555555E-2"/>
  </r>
  <r>
    <x v="1"/>
    <n v="2143"/>
    <n v="12"/>
    <n v="204"/>
    <m/>
    <n v="200000"/>
    <n v="1.1795E-2"/>
  </r>
  <r>
    <x v="1"/>
    <n v="3090"/>
    <n v="697"/>
    <n v="164"/>
    <m/>
    <n v="200000"/>
    <n v="1.9755000000000002E-2"/>
  </r>
  <r>
    <x v="1"/>
    <n v="3601"/>
    <n v="695"/>
    <n v="75"/>
    <m/>
    <n v="200000"/>
    <n v="2.1854999999999999E-2"/>
  </r>
  <r>
    <x v="0"/>
    <n v="562"/>
    <n v="158"/>
    <n v="149"/>
    <m/>
    <n v="150000"/>
    <n v="5.7933333333333335E-3"/>
  </r>
  <r>
    <x v="2"/>
    <n v="4332"/>
    <n v="771"/>
    <n v="219"/>
    <m/>
    <n v="250000"/>
    <n v="2.1288000000000001E-2"/>
  </r>
  <r>
    <x v="0"/>
    <n v="4853"/>
    <n v="837"/>
    <n v="340"/>
    <m/>
    <n v="150000"/>
    <n v="4.02E-2"/>
  </r>
  <r>
    <x v="4"/>
    <n v="1206"/>
    <n v="238"/>
    <n v="36"/>
    <m/>
    <b v="0"/>
    <m/>
  </r>
  <r>
    <x v="1"/>
    <n v="2603"/>
    <n v="690"/>
    <n v="205"/>
    <m/>
    <n v="200000"/>
    <n v="1.7489999999999999E-2"/>
  </r>
  <r>
    <x v="1"/>
    <n v="59"/>
    <n v="163"/>
    <n v="93"/>
    <m/>
    <n v="200000"/>
    <n v="1.575E-3"/>
  </r>
  <r>
    <x v="3"/>
    <n v="1877"/>
    <n v="745"/>
    <n v="225"/>
    <m/>
    <n v="180000"/>
    <n v="1.5816666666666666E-2"/>
  </r>
  <r>
    <x v="2"/>
    <n v="4182"/>
    <n v="640"/>
    <n v="240"/>
    <m/>
    <n v="250000"/>
    <n v="2.0247999999999999E-2"/>
  </r>
  <r>
    <x v="4"/>
    <n v="4187"/>
    <n v="66"/>
    <n v="31"/>
    <m/>
    <b v="0"/>
    <m/>
  </r>
  <r>
    <x v="0"/>
    <n v="4579"/>
    <n v="125"/>
    <n v="300"/>
    <m/>
    <n v="150000"/>
    <n v="3.3360000000000001E-2"/>
  </r>
  <r>
    <x v="1"/>
    <n v="4561"/>
    <n v="51"/>
    <n v="441"/>
    <m/>
    <n v="200000"/>
    <n v="2.5264999999999999E-2"/>
  </r>
  <r>
    <x v="2"/>
    <n v="3774"/>
    <n v="239"/>
    <n v="39"/>
    <m/>
    <n v="250000"/>
    <n v="1.6208E-2"/>
  </r>
  <r>
    <x v="1"/>
    <n v="3575"/>
    <n v="749"/>
    <n v="111"/>
    <m/>
    <n v="200000"/>
    <n v="2.2175E-2"/>
  </r>
  <r>
    <x v="2"/>
    <n v="4941"/>
    <n v="414"/>
    <n v="266"/>
    <m/>
    <n v="250000"/>
    <n v="2.2484000000000001E-2"/>
  </r>
  <r>
    <x v="3"/>
    <n v="3641"/>
    <n v="226"/>
    <n v="46"/>
    <m/>
    <n v="180000"/>
    <n v="2.1738888888888887E-2"/>
  </r>
  <r>
    <x v="3"/>
    <n v="3535"/>
    <n v="494"/>
    <n v="152"/>
    <m/>
    <n v="180000"/>
    <n v="2.3227777777777778E-2"/>
  </r>
  <r>
    <x v="2"/>
    <n v="1741"/>
    <n v="831"/>
    <n v="345"/>
    <m/>
    <n v="250000"/>
    <n v="1.1668E-2"/>
  </r>
  <r>
    <x v="1"/>
    <n v="1556"/>
    <n v="195"/>
    <n v="131"/>
    <m/>
    <n v="200000"/>
    <n v="9.41E-3"/>
  </r>
  <r>
    <x v="0"/>
    <n v="4236"/>
    <n v="711"/>
    <n v="298"/>
    <m/>
    <n v="150000"/>
    <n v="3.4966666666666667E-2"/>
  </r>
  <r>
    <x v="3"/>
    <n v="4516"/>
    <n v="836"/>
    <n v="169"/>
    <m/>
    <n v="180000"/>
    <n v="3.0672222222222222E-2"/>
  </r>
  <r>
    <x v="1"/>
    <n v="4905"/>
    <n v="845"/>
    <n v="129"/>
    <m/>
    <n v="200000"/>
    <n v="2.9395000000000001E-2"/>
  </r>
  <r>
    <x v="3"/>
    <n v="4275"/>
    <n v="680"/>
    <n v="385"/>
    <m/>
    <n v="180000"/>
    <n v="2.9666666666666668E-2"/>
  </r>
  <r>
    <x v="1"/>
    <n v="3166"/>
    <n v="90"/>
    <n v="341"/>
    <m/>
    <n v="200000"/>
    <n v="1.7985000000000001E-2"/>
  </r>
  <r>
    <x v="2"/>
    <n v="1488"/>
    <n v="417"/>
    <n v="168"/>
    <m/>
    <n v="250000"/>
    <n v="8.2920000000000008E-3"/>
  </r>
  <r>
    <x v="1"/>
    <n v="3367"/>
    <n v="302"/>
    <n v="57"/>
    <m/>
    <n v="200000"/>
    <n v="1.8630000000000001E-2"/>
  </r>
  <r>
    <x v="3"/>
    <n v="571"/>
    <n v="190"/>
    <n v="352"/>
    <m/>
    <n v="180000"/>
    <n v="6.1833333333333332E-3"/>
  </r>
  <r>
    <x v="4"/>
    <n v="4021"/>
    <n v="794"/>
    <n v="77"/>
    <m/>
    <b v="0"/>
    <m/>
  </r>
  <r>
    <x v="2"/>
    <n v="3389"/>
    <n v="344"/>
    <n v="229"/>
    <m/>
    <n v="250000"/>
    <n v="1.5848000000000001E-2"/>
  </r>
  <r>
    <x v="0"/>
    <n v="1164"/>
    <n v="616"/>
    <n v="324"/>
    <m/>
    <n v="150000"/>
    <n v="1.4026666666666666E-2"/>
  </r>
  <r>
    <x v="2"/>
    <n v="4780"/>
    <n v="691"/>
    <n v="380"/>
    <m/>
    <n v="250000"/>
    <n v="2.3404000000000001E-2"/>
  </r>
  <r>
    <x v="4"/>
    <n v="2751"/>
    <n v="33"/>
    <n v="430"/>
    <m/>
    <b v="0"/>
    <m/>
  </r>
  <r>
    <x v="3"/>
    <n v="2107"/>
    <n v="550"/>
    <n v="349"/>
    <m/>
    <n v="180000"/>
    <n v="1.67E-2"/>
  </r>
  <r>
    <x v="3"/>
    <n v="4663"/>
    <n v="145"/>
    <n v="225"/>
    <m/>
    <n v="180000"/>
    <n v="2.796111111111111E-2"/>
  </r>
  <r>
    <x v="4"/>
    <n v="880"/>
    <n v="297"/>
    <n v="345"/>
    <m/>
    <b v="0"/>
    <m/>
  </r>
  <r>
    <x v="0"/>
    <n v="2634"/>
    <n v="726"/>
    <n v="241"/>
    <m/>
    <n v="150000"/>
    <n v="2.4006666666666666E-2"/>
  </r>
  <r>
    <x v="2"/>
    <n v="4731"/>
    <n v="173"/>
    <n v="276"/>
    <m/>
    <n v="250000"/>
    <n v="2.0719999999999999E-2"/>
  </r>
  <r>
    <x v="1"/>
    <n v="1952"/>
    <n v="344"/>
    <n v="287"/>
    <m/>
    <n v="200000"/>
    <n v="1.2914999999999999E-2"/>
  </r>
  <r>
    <x v="3"/>
    <n v="3440"/>
    <n v="13"/>
    <n v="20"/>
    <m/>
    <n v="180000"/>
    <n v="1.9294444444444444E-2"/>
  </r>
  <r>
    <x v="3"/>
    <n v="2166"/>
    <n v="354"/>
    <n v="117"/>
    <m/>
    <n v="180000"/>
    <n v="1.465E-2"/>
  </r>
  <r>
    <x v="2"/>
    <n v="4303"/>
    <n v="451"/>
    <n v="286"/>
    <m/>
    <n v="250000"/>
    <n v="2.0160000000000001E-2"/>
  </r>
  <r>
    <x v="2"/>
    <n v="2581"/>
    <n v="517"/>
    <n v="117"/>
    <m/>
    <n v="250000"/>
    <n v="1.286E-2"/>
  </r>
  <r>
    <x v="0"/>
    <n v="4494"/>
    <n v="717"/>
    <n v="45"/>
    <m/>
    <n v="150000"/>
    <n v="3.5040000000000002E-2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s v="Twitter"/>
    <n v="1135"/>
    <n v="88"/>
    <n v="344084"/>
    <n v="1047"/>
  </r>
  <r>
    <x v="1"/>
    <s v="Twitter"/>
    <n v="1312"/>
    <n v="310"/>
    <n v="42654"/>
    <n v="1002"/>
  </r>
  <r>
    <x v="2"/>
    <s v="YouTube"/>
    <n v="584"/>
    <n v="169"/>
    <n v="146834"/>
    <n v="415"/>
  </r>
  <r>
    <x v="3"/>
    <s v="Instagram"/>
    <n v="1535"/>
    <n v="445"/>
    <n v="395536"/>
    <n v="1090"/>
  </r>
  <r>
    <x v="0"/>
    <s v="YouTube"/>
    <n v="656"/>
    <n v="139"/>
    <n v="49157"/>
    <n v="517"/>
  </r>
  <r>
    <x v="1"/>
    <s v="Facebook"/>
    <n v="1697"/>
    <n v="414"/>
    <n v="316555"/>
    <n v="1283"/>
  </r>
  <r>
    <x v="1"/>
    <s v="Twitter"/>
    <n v="436"/>
    <n v="250"/>
    <n v="254347"/>
    <n v="186"/>
  </r>
  <r>
    <x v="3"/>
    <s v="YouTube"/>
    <n v="1197"/>
    <n v="203"/>
    <n v="413878"/>
    <n v="994"/>
  </r>
  <r>
    <x v="1"/>
    <s v="Facebook"/>
    <n v="1048"/>
    <n v="155"/>
    <n v="456946"/>
    <n v="893"/>
  </r>
  <r>
    <x v="1"/>
    <s v="Facebook"/>
    <n v="1753"/>
    <n v="371"/>
    <n v="169496"/>
    <n v="1382"/>
  </r>
  <r>
    <x v="3"/>
    <s v="Instagram"/>
    <n v="1335"/>
    <n v="40"/>
    <n v="122732"/>
    <n v="1295"/>
  </r>
  <r>
    <x v="2"/>
    <s v="Facebook"/>
    <n v="403"/>
    <n v="66"/>
    <n v="382851"/>
    <n v="337"/>
  </r>
  <r>
    <x v="0"/>
    <s v="YouTube"/>
    <n v="911"/>
    <n v="282"/>
    <n v="35664"/>
    <n v="629"/>
  </r>
  <r>
    <x v="4"/>
    <s v="Facebook"/>
    <n v="1779"/>
    <n v="109"/>
    <n v="26295"/>
    <m/>
  </r>
  <r>
    <x v="0"/>
    <s v="Facebook"/>
    <n v="1238"/>
    <n v="403"/>
    <n v="298421"/>
    <n v="835"/>
  </r>
  <r>
    <x v="2"/>
    <s v="Facebook"/>
    <n v="308"/>
    <n v="431"/>
    <n v="426184"/>
    <n v="-123"/>
  </r>
  <r>
    <x v="3"/>
    <s v="Facebook"/>
    <n v="226"/>
    <n v="445"/>
    <n v="419447"/>
    <n v="-219"/>
  </r>
  <r>
    <x v="0"/>
    <s v="Instagram"/>
    <n v="505"/>
    <n v="441"/>
    <n v="220020"/>
    <n v="64"/>
  </r>
  <r>
    <x v="3"/>
    <s v="Instagram"/>
    <n v="1420"/>
    <n v="63"/>
    <n v="315305"/>
    <n v="1357"/>
  </r>
  <r>
    <x v="0"/>
    <s v="Instagram"/>
    <n v="144"/>
    <n v="53"/>
    <n v="113678"/>
    <n v="91"/>
  </r>
  <r>
    <x v="3"/>
    <s v="Instagram"/>
    <n v="1757"/>
    <n v="85"/>
    <n v="58223"/>
    <n v="1672"/>
  </r>
  <r>
    <x v="3"/>
    <s v="Facebook"/>
    <n v="350"/>
    <n v="41"/>
    <n v="251694"/>
    <n v="309"/>
  </r>
  <r>
    <x v="1"/>
    <s v="Facebook"/>
    <n v="987"/>
    <n v="440"/>
    <n v="389810"/>
    <n v="547"/>
  </r>
  <r>
    <x v="2"/>
    <s v="Facebook"/>
    <n v="883"/>
    <n v="369"/>
    <n v="233694"/>
    <n v="514"/>
  </r>
  <r>
    <x v="4"/>
    <s v="Twitter"/>
    <n v="1960"/>
    <n v="115"/>
    <n v="154169"/>
    <m/>
  </r>
  <r>
    <x v="1"/>
    <s v="YouTube"/>
    <n v="170"/>
    <n v="334"/>
    <n v="334626"/>
    <n v="-164"/>
  </r>
  <r>
    <x v="3"/>
    <s v="YouTube"/>
    <n v="704"/>
    <n v="275"/>
    <n v="226002"/>
    <n v="429"/>
  </r>
  <r>
    <x v="3"/>
    <s v="Instagram"/>
    <n v="224"/>
    <n v="64"/>
    <n v="156683"/>
    <n v="160"/>
  </r>
  <r>
    <x v="2"/>
    <s v="Instagram"/>
    <n v="508"/>
    <n v="349"/>
    <n v="473812"/>
    <n v="159"/>
  </r>
  <r>
    <x v="4"/>
    <s v="Instagram"/>
    <n v="1391"/>
    <n v="430"/>
    <n v="295032"/>
    <m/>
  </r>
  <r>
    <x v="1"/>
    <s v="Instagram"/>
    <n v="1701"/>
    <n v="385"/>
    <n v="198278"/>
    <n v="1316"/>
  </r>
  <r>
    <x v="0"/>
    <s v="Twitter"/>
    <n v="804"/>
    <n v="487"/>
    <n v="306564"/>
    <n v="317"/>
  </r>
  <r>
    <x v="0"/>
    <s v="Facebook"/>
    <n v="653"/>
    <n v="112"/>
    <n v="23664"/>
    <n v="541"/>
  </r>
  <r>
    <x v="2"/>
    <s v="Facebook"/>
    <n v="160"/>
    <n v="478"/>
    <n v="435034"/>
    <n v="-318"/>
  </r>
  <r>
    <x v="1"/>
    <s v="Instagram"/>
    <n v="1756"/>
    <n v="261"/>
    <n v="287574"/>
    <n v="1495"/>
  </r>
  <r>
    <x v="1"/>
    <s v="Instagram"/>
    <n v="576"/>
    <n v="101"/>
    <n v="62499"/>
    <n v="475"/>
  </r>
  <r>
    <x v="1"/>
    <s v="Facebook"/>
    <n v="645"/>
    <n v="293"/>
    <n v="437968"/>
    <n v="352"/>
  </r>
  <r>
    <x v="3"/>
    <s v="YouTube"/>
    <n v="214"/>
    <n v="411"/>
    <n v="125034"/>
    <n v="-197"/>
  </r>
  <r>
    <x v="4"/>
    <s v="Facebook"/>
    <n v="826"/>
    <n v="498"/>
    <n v="449994"/>
    <m/>
  </r>
  <r>
    <x v="3"/>
    <s v="Twitter"/>
    <n v="460"/>
    <n v="141"/>
    <n v="320650"/>
    <n v="319"/>
  </r>
  <r>
    <x v="3"/>
    <s v="Instagram"/>
    <n v="1528"/>
    <n v="203"/>
    <n v="489188"/>
    <n v="1325"/>
  </r>
  <r>
    <x v="4"/>
    <s v="YouTube"/>
    <n v="1534"/>
    <n v="200"/>
    <n v="307612"/>
    <m/>
  </r>
  <r>
    <x v="2"/>
    <s v="Instagram"/>
    <n v="485"/>
    <n v="448"/>
    <n v="434883"/>
    <n v="37"/>
  </r>
  <r>
    <x v="4"/>
    <s v="Twitter"/>
    <n v="1210"/>
    <n v="178"/>
    <n v="102042"/>
    <m/>
  </r>
  <r>
    <x v="0"/>
    <s v="Facebook"/>
    <n v="215"/>
    <n v="139"/>
    <n v="325444"/>
    <n v="76"/>
  </r>
  <r>
    <x v="3"/>
    <s v="Twitter"/>
    <n v="1078"/>
    <n v="20"/>
    <n v="183924"/>
    <n v="1058"/>
  </r>
  <r>
    <x v="4"/>
    <s v="Twitter"/>
    <n v="1751"/>
    <n v="86"/>
    <n v="188655"/>
    <m/>
  </r>
  <r>
    <x v="4"/>
    <s v="Twitter"/>
    <n v="221"/>
    <n v="31"/>
    <n v="87443"/>
    <m/>
  </r>
  <r>
    <x v="3"/>
    <s v="Twitter"/>
    <n v="1685"/>
    <n v="76"/>
    <n v="453799"/>
    <n v="1609"/>
  </r>
  <r>
    <x v="2"/>
    <s v="YouTube"/>
    <n v="248"/>
    <n v="211"/>
    <n v="379380"/>
    <n v="37"/>
  </r>
  <r>
    <x v="1"/>
    <s v="Facebook"/>
    <n v="1300"/>
    <n v="71"/>
    <n v="186454"/>
    <n v="1229"/>
  </r>
  <r>
    <x v="3"/>
    <s v="Facebook"/>
    <n v="422"/>
    <n v="394"/>
    <n v="239044"/>
    <n v="28"/>
  </r>
  <r>
    <x v="4"/>
    <s v="YouTube"/>
    <n v="1429"/>
    <n v="182"/>
    <n v="101332"/>
    <m/>
  </r>
  <r>
    <x v="1"/>
    <s v="YouTube"/>
    <n v="1520"/>
    <n v="475"/>
    <n v="496982"/>
    <n v="1045"/>
  </r>
  <r>
    <x v="3"/>
    <s v="Facebook"/>
    <n v="557"/>
    <n v="360"/>
    <n v="318779"/>
    <n v="197"/>
  </r>
  <r>
    <x v="2"/>
    <s v="Facebook"/>
    <n v="728"/>
    <n v="395"/>
    <n v="370971"/>
    <n v="333"/>
  </r>
  <r>
    <x v="0"/>
    <s v="Twitter"/>
    <n v="1592"/>
    <n v="20"/>
    <n v="378054"/>
    <n v="1572"/>
  </r>
  <r>
    <x v="3"/>
    <s v="Instagram"/>
    <n v="1842"/>
    <n v="414"/>
    <n v="307524"/>
    <n v="1428"/>
  </r>
  <r>
    <x v="4"/>
    <s v="Instagram"/>
    <n v="751"/>
    <n v="491"/>
    <n v="434047"/>
    <m/>
  </r>
  <r>
    <x v="2"/>
    <s v="Instagram"/>
    <n v="1409"/>
    <n v="309"/>
    <n v="64583"/>
    <n v="1100"/>
  </r>
  <r>
    <x v="0"/>
    <s v="Twitter"/>
    <n v="778"/>
    <n v="401"/>
    <n v="50793"/>
    <n v="377"/>
  </r>
  <r>
    <x v="2"/>
    <s v="Twitter"/>
    <n v="443"/>
    <n v="345"/>
    <n v="474162"/>
    <n v="98"/>
  </r>
  <r>
    <x v="2"/>
    <s v="Twitter"/>
    <n v="1472"/>
    <n v="347"/>
    <n v="392355"/>
    <n v="1125"/>
  </r>
  <r>
    <x v="2"/>
    <s v="Facebook"/>
    <n v="123"/>
    <n v="155"/>
    <n v="119934"/>
    <n v="-32"/>
  </r>
  <r>
    <x v="4"/>
    <s v="Instagram"/>
    <n v="817"/>
    <n v="151"/>
    <n v="422625"/>
    <m/>
  </r>
  <r>
    <x v="0"/>
    <s v="Twitter"/>
    <n v="198"/>
    <n v="217"/>
    <n v="239753"/>
    <n v="-19"/>
  </r>
  <r>
    <x v="2"/>
    <s v="Facebook"/>
    <n v="1911"/>
    <n v="231"/>
    <n v="268516"/>
    <n v="1680"/>
  </r>
  <r>
    <x v="4"/>
    <s v="Instagram"/>
    <n v="1218"/>
    <n v="212"/>
    <n v="63177"/>
    <m/>
  </r>
  <r>
    <x v="2"/>
    <s v="Twitter"/>
    <n v="1433"/>
    <n v="408"/>
    <n v="370269"/>
    <n v="1025"/>
  </r>
  <r>
    <x v="4"/>
    <s v="Facebook"/>
    <n v="250"/>
    <n v="429"/>
    <n v="453423"/>
    <m/>
  </r>
  <r>
    <x v="1"/>
    <s v="YouTube"/>
    <n v="752"/>
    <n v="153"/>
    <n v="64906"/>
    <n v="599"/>
  </r>
  <r>
    <x v="1"/>
    <s v="YouTube"/>
    <n v="1918"/>
    <n v="212"/>
    <n v="94360"/>
    <n v="1706"/>
  </r>
  <r>
    <x v="3"/>
    <s v="Facebook"/>
    <n v="1939"/>
    <n v="67"/>
    <n v="187183"/>
    <n v="1872"/>
  </r>
  <r>
    <x v="2"/>
    <s v="YouTube"/>
    <n v="1929"/>
    <n v="267"/>
    <n v="379363"/>
    <n v="1662"/>
  </r>
  <r>
    <x v="3"/>
    <s v="Instagram"/>
    <n v="437"/>
    <n v="330"/>
    <n v="476486"/>
    <n v="107"/>
  </r>
  <r>
    <x v="3"/>
    <s v="Twitter"/>
    <n v="307"/>
    <n v="189"/>
    <n v="117767"/>
    <n v="118"/>
  </r>
  <r>
    <x v="4"/>
    <s v="Facebook"/>
    <n v="1527"/>
    <n v="303"/>
    <n v="388555"/>
    <m/>
  </r>
  <r>
    <x v="3"/>
    <s v="Twitter"/>
    <n v="643"/>
    <n v="358"/>
    <n v="157599"/>
    <n v="285"/>
  </r>
  <r>
    <x v="1"/>
    <s v="Instagram"/>
    <n v="201"/>
    <n v="221"/>
    <n v="309772"/>
    <n v="-20"/>
  </r>
  <r>
    <x v="4"/>
    <s v="Instagram"/>
    <n v="414"/>
    <n v="47"/>
    <n v="199178"/>
    <m/>
  </r>
  <r>
    <x v="2"/>
    <s v="Instagram"/>
    <n v="703"/>
    <n v="441"/>
    <n v="357089"/>
    <n v="262"/>
  </r>
  <r>
    <x v="2"/>
    <s v="Instagram"/>
    <n v="508"/>
    <n v="69"/>
    <n v="23492"/>
    <n v="439"/>
  </r>
  <r>
    <x v="4"/>
    <s v="YouTube"/>
    <n v="697"/>
    <n v="61"/>
    <n v="258287"/>
    <m/>
  </r>
  <r>
    <x v="3"/>
    <s v="Facebook"/>
    <n v="1707"/>
    <n v="223"/>
    <n v="256910"/>
    <n v="1484"/>
  </r>
  <r>
    <x v="0"/>
    <s v="Instagram"/>
    <n v="642"/>
    <n v="66"/>
    <n v="346522"/>
    <n v="576"/>
  </r>
  <r>
    <x v="3"/>
    <s v="YouTube"/>
    <n v="859"/>
    <n v="473"/>
    <n v="209987"/>
    <n v="386"/>
  </r>
  <r>
    <x v="2"/>
    <s v="Twitter"/>
    <n v="191"/>
    <n v="154"/>
    <n v="240550"/>
    <n v="37"/>
  </r>
  <r>
    <x v="3"/>
    <s v="Facebook"/>
    <n v="1814"/>
    <n v="157"/>
    <n v="305827"/>
    <n v="1657"/>
  </r>
  <r>
    <x v="4"/>
    <s v="Twitter"/>
    <n v="1466"/>
    <n v="69"/>
    <n v="54935"/>
    <m/>
  </r>
  <r>
    <x v="3"/>
    <s v="Instagram"/>
    <n v="947"/>
    <n v="407"/>
    <n v="319186"/>
    <n v="540"/>
  </r>
  <r>
    <x v="3"/>
    <s v="Facebook"/>
    <n v="1821"/>
    <n v="218"/>
    <n v="439080"/>
    <n v="1603"/>
  </r>
  <r>
    <x v="2"/>
    <s v="Twitter"/>
    <n v="1507"/>
    <n v="463"/>
    <n v="258944"/>
    <n v="1044"/>
  </r>
  <r>
    <x v="2"/>
    <s v="Instagram"/>
    <n v="1075"/>
    <n v="173"/>
    <n v="51395"/>
    <n v="902"/>
  </r>
  <r>
    <x v="2"/>
    <s v="Instagram"/>
    <n v="171"/>
    <n v="277"/>
    <n v="309483"/>
    <n v="-106"/>
  </r>
  <r>
    <x v="3"/>
    <s v="Instagram"/>
    <n v="1487"/>
    <n v="337"/>
    <n v="87305"/>
    <n v="1150"/>
  </r>
  <r>
    <x v="4"/>
    <s v="Twitter"/>
    <n v="454"/>
    <n v="105"/>
    <n v="121091"/>
    <m/>
  </r>
  <r>
    <x v="1"/>
    <s v="Instagram"/>
    <n v="187"/>
    <n v="236"/>
    <n v="51087"/>
    <n v="-49"/>
  </r>
  <r>
    <x v="3"/>
    <s v="Twitter"/>
    <n v="513"/>
    <n v="441"/>
    <n v="338847"/>
    <n v="72"/>
  </r>
  <r>
    <x v="2"/>
    <s v="YouTube"/>
    <n v="628"/>
    <n v="183"/>
    <n v="487523"/>
    <n v="445"/>
  </r>
  <r>
    <x v="4"/>
    <s v="YouTube"/>
    <n v="278"/>
    <n v="218"/>
    <n v="301695"/>
    <m/>
  </r>
  <r>
    <x v="2"/>
    <s v="YouTube"/>
    <n v="1854"/>
    <n v="161"/>
    <n v="282466"/>
    <n v="1693"/>
  </r>
  <r>
    <x v="1"/>
    <s v="Twitter"/>
    <n v="1710"/>
    <n v="378"/>
    <n v="336661"/>
    <n v="1332"/>
  </r>
  <r>
    <x v="1"/>
    <s v="Facebook"/>
    <n v="330"/>
    <n v="232"/>
    <n v="88455"/>
    <n v="98"/>
  </r>
  <r>
    <x v="2"/>
    <s v="YouTube"/>
    <n v="1293"/>
    <n v="408"/>
    <n v="62535"/>
    <n v="885"/>
  </r>
  <r>
    <x v="0"/>
    <s v="Instagram"/>
    <n v="1696"/>
    <n v="71"/>
    <n v="421957"/>
    <n v="1625"/>
  </r>
  <r>
    <x v="3"/>
    <s v="Instagram"/>
    <n v="1902"/>
    <n v="196"/>
    <n v="470269"/>
    <n v="1706"/>
  </r>
  <r>
    <x v="4"/>
    <s v="YouTube"/>
    <n v="1441"/>
    <n v="268"/>
    <n v="309904"/>
    <m/>
  </r>
  <r>
    <x v="1"/>
    <s v="Twitter"/>
    <n v="452"/>
    <n v="161"/>
    <n v="221274"/>
    <n v="291"/>
  </r>
  <r>
    <x v="2"/>
    <s v="Twitter"/>
    <n v="1494"/>
    <n v="375"/>
    <n v="220616"/>
    <n v="1119"/>
  </r>
  <r>
    <x v="1"/>
    <s v="Instagram"/>
    <n v="1514"/>
    <n v="141"/>
    <n v="35842"/>
    <n v="1373"/>
  </r>
  <r>
    <x v="1"/>
    <s v="YouTube"/>
    <n v="1937"/>
    <n v="210"/>
    <n v="20607"/>
    <n v="1727"/>
  </r>
  <r>
    <x v="2"/>
    <s v="Twitter"/>
    <n v="736"/>
    <n v="163"/>
    <n v="451894"/>
    <n v="573"/>
  </r>
  <r>
    <x v="0"/>
    <s v="Twitter"/>
    <n v="1502"/>
    <n v="70"/>
    <n v="465553"/>
    <n v="1432"/>
  </r>
  <r>
    <x v="0"/>
    <s v="Twitter"/>
    <n v="1623"/>
    <n v="246"/>
    <n v="415815"/>
    <n v="1377"/>
  </r>
  <r>
    <x v="3"/>
    <s v="Twitter"/>
    <n v="1592"/>
    <n v="233"/>
    <n v="327183"/>
    <n v="1359"/>
  </r>
  <r>
    <x v="4"/>
    <s v="YouTube"/>
    <n v="1004"/>
    <n v="128"/>
    <n v="488901"/>
    <m/>
  </r>
  <r>
    <x v="3"/>
    <s v="Twitter"/>
    <n v="1092"/>
    <n v="408"/>
    <n v="280795"/>
    <n v="684"/>
  </r>
  <r>
    <x v="2"/>
    <s v="Facebook"/>
    <n v="1155"/>
    <n v="425"/>
    <n v="93347"/>
    <n v="730"/>
  </r>
  <r>
    <x v="4"/>
    <s v="Instagram"/>
    <n v="1137"/>
    <n v="226"/>
    <n v="81119"/>
    <m/>
  </r>
  <r>
    <x v="2"/>
    <s v="Facebook"/>
    <n v="1900"/>
    <n v="311"/>
    <n v="25177"/>
    <n v="1589"/>
  </r>
  <r>
    <x v="4"/>
    <s v="Instagram"/>
    <n v="1814"/>
    <n v="49"/>
    <n v="140804"/>
    <m/>
  </r>
  <r>
    <x v="1"/>
    <s v="Instagram"/>
    <n v="1980"/>
    <n v="204"/>
    <n v="379431"/>
    <n v="1776"/>
  </r>
  <r>
    <x v="0"/>
    <s v="Instagram"/>
    <n v="1786"/>
    <n v="257"/>
    <n v="274831"/>
    <n v="1529"/>
  </r>
  <r>
    <x v="0"/>
    <s v="YouTube"/>
    <n v="1495"/>
    <n v="35"/>
    <n v="136845"/>
    <n v="1460"/>
  </r>
  <r>
    <x v="3"/>
    <s v="Twitter"/>
    <n v="1013"/>
    <n v="110"/>
    <n v="466382"/>
    <n v="903"/>
  </r>
  <r>
    <x v="4"/>
    <s v="Instagram"/>
    <n v="816"/>
    <n v="196"/>
    <n v="95728"/>
    <m/>
  </r>
  <r>
    <x v="2"/>
    <s v="Facebook"/>
    <n v="1633"/>
    <n v="445"/>
    <n v="371156"/>
    <n v="1188"/>
  </r>
  <r>
    <x v="4"/>
    <s v="Twitter"/>
    <n v="891"/>
    <n v="45"/>
    <n v="95410"/>
    <m/>
  </r>
  <r>
    <x v="4"/>
    <s v="Twitter"/>
    <n v="1855"/>
    <n v="133"/>
    <n v="349413"/>
    <m/>
  </r>
  <r>
    <x v="3"/>
    <s v="YouTube"/>
    <n v="651"/>
    <n v="353"/>
    <n v="224699"/>
    <n v="298"/>
  </r>
  <r>
    <x v="2"/>
    <s v="Instagram"/>
    <n v="118"/>
    <n v="262"/>
    <n v="487896"/>
    <n v="-144"/>
  </r>
  <r>
    <x v="1"/>
    <s v="Instagram"/>
    <n v="1331"/>
    <n v="430"/>
    <n v="14437"/>
    <n v="901"/>
  </r>
  <r>
    <x v="3"/>
    <s v="Facebook"/>
    <n v="1748"/>
    <n v="176"/>
    <n v="383681"/>
    <n v="1572"/>
  </r>
  <r>
    <x v="0"/>
    <s v="Twitter"/>
    <n v="663"/>
    <n v="236"/>
    <n v="479490"/>
    <n v="427"/>
  </r>
  <r>
    <x v="3"/>
    <s v="Facebook"/>
    <n v="1040"/>
    <n v="149"/>
    <n v="124404"/>
    <n v="891"/>
  </r>
  <r>
    <x v="3"/>
    <s v="Instagram"/>
    <n v="1166"/>
    <n v="442"/>
    <n v="336949"/>
    <n v="724"/>
  </r>
  <r>
    <x v="4"/>
    <s v="Facebook"/>
    <n v="115"/>
    <n v="281"/>
    <n v="357265"/>
    <m/>
  </r>
  <r>
    <x v="2"/>
    <s v="Twitter"/>
    <n v="1249"/>
    <n v="351"/>
    <n v="321307"/>
    <n v="898"/>
  </r>
  <r>
    <x v="0"/>
    <s v="YouTube"/>
    <n v="1501"/>
    <n v="75"/>
    <n v="262569"/>
    <n v="1426"/>
  </r>
  <r>
    <x v="1"/>
    <s v="Facebook"/>
    <n v="1411"/>
    <n v="186"/>
    <n v="461669"/>
    <n v="1225"/>
  </r>
  <r>
    <x v="4"/>
    <s v="Twitter"/>
    <n v="1556"/>
    <n v="476"/>
    <n v="351556"/>
    <m/>
  </r>
  <r>
    <x v="3"/>
    <s v="YouTube"/>
    <n v="1159"/>
    <n v="411"/>
    <n v="135987"/>
    <n v="748"/>
  </r>
  <r>
    <x v="2"/>
    <s v="YouTube"/>
    <n v="927"/>
    <n v="358"/>
    <n v="177554"/>
    <n v="569"/>
  </r>
  <r>
    <x v="3"/>
    <s v="YouTube"/>
    <n v="152"/>
    <n v="355"/>
    <n v="270766"/>
    <n v="-203"/>
  </r>
  <r>
    <x v="3"/>
    <s v="Instagram"/>
    <n v="1957"/>
    <n v="234"/>
    <n v="222126"/>
    <n v="1723"/>
  </r>
  <r>
    <x v="4"/>
    <s v="YouTube"/>
    <n v="1294"/>
    <n v="382"/>
    <n v="309914"/>
    <m/>
  </r>
  <r>
    <x v="1"/>
    <s v="Instagram"/>
    <n v="1587"/>
    <n v="385"/>
    <n v="126582"/>
    <n v="1202"/>
  </r>
  <r>
    <x v="3"/>
    <s v="Instagram"/>
    <n v="1707"/>
    <n v="263"/>
    <n v="485280"/>
    <n v="1444"/>
  </r>
  <r>
    <x v="0"/>
    <s v="Twitter"/>
    <n v="1138"/>
    <n v="173"/>
    <n v="453243"/>
    <n v="965"/>
  </r>
  <r>
    <x v="3"/>
    <s v="YouTube"/>
    <n v="1895"/>
    <n v="305"/>
    <n v="104967"/>
    <n v="1590"/>
  </r>
  <r>
    <x v="0"/>
    <s v="Instagram"/>
    <n v="362"/>
    <n v="399"/>
    <n v="145608"/>
    <n v="-37"/>
  </r>
  <r>
    <x v="3"/>
    <s v="Facebook"/>
    <n v="1662"/>
    <n v="487"/>
    <n v="105980"/>
    <n v="1175"/>
  </r>
  <r>
    <x v="2"/>
    <s v="Twitter"/>
    <n v="1440"/>
    <n v="65"/>
    <n v="126524"/>
    <n v="1375"/>
  </r>
  <r>
    <x v="3"/>
    <s v="Instagram"/>
    <n v="1884"/>
    <n v="177"/>
    <n v="230448"/>
    <n v="1707"/>
  </r>
  <r>
    <x v="1"/>
    <s v="YouTube"/>
    <n v="861"/>
    <n v="153"/>
    <n v="317007"/>
    <n v="708"/>
  </r>
  <r>
    <x v="1"/>
    <s v="Facebook"/>
    <n v="1063"/>
    <n v="47"/>
    <n v="464239"/>
    <n v="1016"/>
  </r>
  <r>
    <x v="1"/>
    <s v="YouTube"/>
    <n v="1371"/>
    <n v="56"/>
    <n v="257579"/>
    <n v="1315"/>
  </r>
  <r>
    <x v="0"/>
    <s v="Instagram"/>
    <n v="345"/>
    <n v="464"/>
    <n v="366881"/>
    <n v="-119"/>
  </r>
  <r>
    <x v="1"/>
    <s v="Facebook"/>
    <n v="946"/>
    <n v="47"/>
    <n v="466575"/>
    <n v="899"/>
  </r>
  <r>
    <x v="4"/>
    <s v="Twitter"/>
    <n v="510"/>
    <n v="195"/>
    <n v="224534"/>
    <m/>
  </r>
  <r>
    <x v="3"/>
    <s v="Twitter"/>
    <n v="393"/>
    <n v="181"/>
    <n v="462142"/>
    <n v="212"/>
  </r>
  <r>
    <x v="4"/>
    <s v="Facebook"/>
    <n v="1098"/>
    <n v="190"/>
    <n v="340842"/>
    <m/>
  </r>
  <r>
    <x v="1"/>
    <s v="Instagram"/>
    <n v="1399"/>
    <n v="49"/>
    <n v="12471"/>
    <n v="1350"/>
  </r>
  <r>
    <x v="3"/>
    <s v="YouTube"/>
    <n v="1658"/>
    <n v="416"/>
    <n v="98397"/>
    <n v="1242"/>
  </r>
  <r>
    <x v="1"/>
    <s v="Twitter"/>
    <n v="1102"/>
    <n v="422"/>
    <n v="410330"/>
    <n v="680"/>
  </r>
  <r>
    <x v="0"/>
    <s v="Twitter"/>
    <n v="1358"/>
    <n v="242"/>
    <n v="342129"/>
    <n v="1116"/>
  </r>
  <r>
    <x v="4"/>
    <s v="Instagram"/>
    <n v="1077"/>
    <n v="216"/>
    <n v="12447"/>
    <m/>
  </r>
  <r>
    <x v="0"/>
    <s v="Facebook"/>
    <n v="1596"/>
    <n v="211"/>
    <n v="17380"/>
    <n v="1385"/>
  </r>
  <r>
    <x v="0"/>
    <s v="YouTube"/>
    <n v="490"/>
    <n v="29"/>
    <n v="364810"/>
    <n v="461"/>
  </r>
  <r>
    <x v="2"/>
    <s v="Twitter"/>
    <n v="609"/>
    <n v="135"/>
    <n v="373606"/>
    <n v="474"/>
  </r>
  <r>
    <x v="1"/>
    <s v="YouTube"/>
    <n v="364"/>
    <n v="72"/>
    <n v="211090"/>
    <n v="292"/>
  </r>
  <r>
    <x v="2"/>
    <s v="Facebook"/>
    <n v="442"/>
    <n v="53"/>
    <n v="441931"/>
    <n v="389"/>
  </r>
  <r>
    <x v="2"/>
    <s v="Twitter"/>
    <n v="1033"/>
    <n v="392"/>
    <n v="282780"/>
    <n v="641"/>
  </r>
  <r>
    <x v="4"/>
    <s v="Facebook"/>
    <n v="988"/>
    <n v="474"/>
    <n v="370070"/>
    <m/>
  </r>
  <r>
    <x v="3"/>
    <s v="Instagram"/>
    <n v="1946"/>
    <n v="270"/>
    <n v="198350"/>
    <n v="1676"/>
  </r>
  <r>
    <x v="0"/>
    <s v="Facebook"/>
    <n v="1957"/>
    <n v="490"/>
    <n v="435726"/>
    <n v="1467"/>
  </r>
  <r>
    <x v="2"/>
    <s v="Instagram"/>
    <n v="559"/>
    <n v="392"/>
    <n v="78789"/>
    <n v="167"/>
  </r>
  <r>
    <x v="3"/>
    <s v="Instagram"/>
    <n v="1307"/>
    <n v="278"/>
    <n v="98596"/>
    <n v="1029"/>
  </r>
  <r>
    <x v="4"/>
    <s v="Facebook"/>
    <n v="1432"/>
    <n v="425"/>
    <n v="29589"/>
    <m/>
  </r>
  <r>
    <x v="0"/>
    <s v="YouTube"/>
    <n v="623"/>
    <n v="414"/>
    <n v="290354"/>
    <n v="209"/>
  </r>
  <r>
    <x v="2"/>
    <s v="YouTube"/>
    <n v="198"/>
    <n v="358"/>
    <n v="66682"/>
    <n v="-160"/>
  </r>
  <r>
    <x v="3"/>
    <s v="Facebook"/>
    <n v="198"/>
    <n v="373"/>
    <n v="70707"/>
    <n v="-175"/>
  </r>
  <r>
    <x v="1"/>
    <s v="Instagram"/>
    <n v="353"/>
    <n v="300"/>
    <n v="142507"/>
    <n v="53"/>
  </r>
  <r>
    <x v="0"/>
    <s v="Twitter"/>
    <n v="520"/>
    <n v="375"/>
    <n v="369525"/>
    <n v="145"/>
  </r>
  <r>
    <x v="4"/>
    <s v="Instagram"/>
    <n v="961"/>
    <n v="358"/>
    <n v="62942"/>
    <m/>
  </r>
  <r>
    <x v="2"/>
    <s v="Facebook"/>
    <n v="1375"/>
    <n v="330"/>
    <n v="377382"/>
    <n v="1045"/>
  </r>
  <r>
    <x v="2"/>
    <s v="Twitter"/>
    <n v="1147"/>
    <n v="388"/>
    <n v="333851"/>
    <n v="759"/>
  </r>
  <r>
    <x v="1"/>
    <s v="YouTube"/>
    <n v="1707"/>
    <n v="74"/>
    <n v="270958"/>
    <n v="1633"/>
  </r>
  <r>
    <x v="0"/>
    <s v="Facebook"/>
    <n v="1693"/>
    <n v="154"/>
    <n v="445944"/>
    <n v="1539"/>
  </r>
  <r>
    <x v="4"/>
    <s v="YouTube"/>
    <n v="833"/>
    <n v="380"/>
    <n v="224830"/>
    <m/>
  </r>
  <r>
    <x v="2"/>
    <s v="YouTube"/>
    <n v="1222"/>
    <n v="274"/>
    <n v="487289"/>
    <n v="948"/>
  </r>
  <r>
    <x v="4"/>
    <s v="Instagram"/>
    <n v="777"/>
    <n v="140"/>
    <n v="11435"/>
    <m/>
  </r>
  <r>
    <x v="2"/>
    <s v="Twitter"/>
    <n v="1957"/>
    <n v="76"/>
    <n v="447902"/>
    <n v="1881"/>
  </r>
  <r>
    <x v="0"/>
    <s v="YouTube"/>
    <n v="405"/>
    <n v="66"/>
    <n v="418696"/>
    <n v="339"/>
  </r>
  <r>
    <x v="3"/>
    <s v="Instagram"/>
    <n v="1581"/>
    <n v="71"/>
    <n v="484364"/>
    <n v="1510"/>
  </r>
  <r>
    <x v="2"/>
    <s v="Instagram"/>
    <n v="1035"/>
    <n v="171"/>
    <n v="148477"/>
    <n v="864"/>
  </r>
  <r>
    <x v="0"/>
    <s v="Twitter"/>
    <n v="1765"/>
    <n v="109"/>
    <n v="468301"/>
    <n v="1656"/>
  </r>
  <r>
    <x v="2"/>
    <s v="Twitter"/>
    <n v="837"/>
    <n v="430"/>
    <n v="364820"/>
    <n v="407"/>
  </r>
  <r>
    <x v="1"/>
    <s v="YouTube"/>
    <n v="337"/>
    <n v="68"/>
    <n v="456298"/>
    <n v="269"/>
  </r>
  <r>
    <x v="1"/>
    <s v="Facebook"/>
    <n v="119"/>
    <n v="456"/>
    <n v="82558"/>
    <n v="-337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3">
  <r>
    <n v="1047"/>
    <x v="0"/>
  </r>
  <r>
    <n v="1002"/>
    <x v="1"/>
  </r>
  <r>
    <n v="415"/>
    <x v="2"/>
  </r>
  <r>
    <n v="1090"/>
    <x v="3"/>
  </r>
  <r>
    <n v="517"/>
    <x v="0"/>
  </r>
  <r>
    <n v="1283"/>
    <x v="1"/>
  </r>
  <r>
    <n v="186"/>
    <x v="2"/>
  </r>
  <r>
    <n v="994"/>
    <x v="3"/>
  </r>
  <r>
    <n v="893"/>
    <x v="0"/>
  </r>
  <r>
    <n v="1382"/>
    <x v="1"/>
  </r>
  <r>
    <n v="1295"/>
    <x v="2"/>
  </r>
  <r>
    <n v="337"/>
    <x v="3"/>
  </r>
  <r>
    <n v="629"/>
    <x v="0"/>
  </r>
  <r>
    <n v="835"/>
    <x v="1"/>
  </r>
  <r>
    <n v="-123"/>
    <x v="2"/>
  </r>
  <r>
    <n v="-219"/>
    <x v="3"/>
  </r>
  <r>
    <n v="64"/>
    <x v="0"/>
  </r>
  <r>
    <n v="1357"/>
    <x v="1"/>
  </r>
  <r>
    <n v="91"/>
    <x v="2"/>
  </r>
  <r>
    <n v="1672"/>
    <x v="3"/>
  </r>
  <r>
    <n v="309"/>
    <x v="0"/>
  </r>
  <r>
    <n v="547"/>
    <x v="1"/>
  </r>
  <r>
    <n v="514"/>
    <x v="2"/>
  </r>
  <r>
    <n v="-164"/>
    <x v="3"/>
  </r>
  <r>
    <n v="429"/>
    <x v="0"/>
  </r>
  <r>
    <n v="160"/>
    <x v="1"/>
  </r>
  <r>
    <n v="159"/>
    <x v="2"/>
  </r>
  <r>
    <n v="1316"/>
    <x v="3"/>
  </r>
  <r>
    <n v="317"/>
    <x v="0"/>
  </r>
  <r>
    <n v="541"/>
    <x v="1"/>
  </r>
  <r>
    <n v="-318"/>
    <x v="2"/>
  </r>
  <r>
    <n v="1495"/>
    <x v="3"/>
  </r>
  <r>
    <n v="475"/>
    <x v="0"/>
  </r>
  <r>
    <n v="352"/>
    <x v="1"/>
  </r>
  <r>
    <n v="-197"/>
    <x v="2"/>
  </r>
  <r>
    <n v="319"/>
    <x v="3"/>
  </r>
  <r>
    <n v="1325"/>
    <x v="0"/>
  </r>
  <r>
    <n v="37"/>
    <x v="1"/>
  </r>
  <r>
    <n v="76"/>
    <x v="2"/>
  </r>
  <r>
    <n v="1058"/>
    <x v="3"/>
  </r>
  <r>
    <n v="1609"/>
    <x v="0"/>
  </r>
  <r>
    <n v="37"/>
    <x v="1"/>
  </r>
  <r>
    <n v="1229"/>
    <x v="2"/>
  </r>
  <r>
    <n v="28"/>
    <x v="3"/>
  </r>
  <r>
    <n v="1045"/>
    <x v="0"/>
  </r>
  <r>
    <n v="197"/>
    <x v="1"/>
  </r>
  <r>
    <n v="333"/>
    <x v="2"/>
  </r>
  <r>
    <n v="1572"/>
    <x v="3"/>
  </r>
  <r>
    <n v="1428"/>
    <x v="0"/>
  </r>
  <r>
    <n v="1100"/>
    <x v="1"/>
  </r>
  <r>
    <n v="377"/>
    <x v="2"/>
  </r>
  <r>
    <n v="98"/>
    <x v="3"/>
  </r>
  <r>
    <n v="1125"/>
    <x v="0"/>
  </r>
  <r>
    <n v="-32"/>
    <x v="1"/>
  </r>
  <r>
    <n v="-19"/>
    <x v="2"/>
  </r>
  <r>
    <n v="1680"/>
    <x v="3"/>
  </r>
  <r>
    <n v="1025"/>
    <x v="0"/>
  </r>
  <r>
    <n v="599"/>
    <x v="1"/>
  </r>
  <r>
    <n v="1706"/>
    <x v="2"/>
  </r>
  <r>
    <n v="1872"/>
    <x v="3"/>
  </r>
  <r>
    <n v="1662"/>
    <x v="0"/>
  </r>
  <r>
    <n v="107"/>
    <x v="1"/>
  </r>
  <r>
    <n v="118"/>
    <x v="2"/>
  </r>
  <r>
    <n v="285"/>
    <x v="3"/>
  </r>
  <r>
    <n v="-20"/>
    <x v="0"/>
  </r>
  <r>
    <n v="262"/>
    <x v="1"/>
  </r>
  <r>
    <n v="439"/>
    <x v="2"/>
  </r>
  <r>
    <n v="1484"/>
    <x v="3"/>
  </r>
  <r>
    <n v="576"/>
    <x v="0"/>
  </r>
  <r>
    <n v="386"/>
    <x v="1"/>
  </r>
  <r>
    <n v="37"/>
    <x v="2"/>
  </r>
  <r>
    <n v="1657"/>
    <x v="3"/>
  </r>
  <r>
    <n v="540"/>
    <x v="0"/>
  </r>
  <r>
    <n v="1603"/>
    <x v="1"/>
  </r>
  <r>
    <n v="1044"/>
    <x v="2"/>
  </r>
  <r>
    <n v="902"/>
    <x v="3"/>
  </r>
  <r>
    <n v="-106"/>
    <x v="0"/>
  </r>
  <r>
    <n v="1150"/>
    <x v="1"/>
  </r>
  <r>
    <n v="-49"/>
    <x v="2"/>
  </r>
  <r>
    <n v="72"/>
    <x v="3"/>
  </r>
  <r>
    <n v="445"/>
    <x v="0"/>
  </r>
  <r>
    <n v="1693"/>
    <x v="1"/>
  </r>
  <r>
    <n v="1332"/>
    <x v="2"/>
  </r>
  <r>
    <n v="98"/>
    <x v="3"/>
  </r>
  <r>
    <n v="885"/>
    <x v="0"/>
  </r>
  <r>
    <n v="1625"/>
    <x v="1"/>
  </r>
  <r>
    <n v="1706"/>
    <x v="2"/>
  </r>
  <r>
    <n v="291"/>
    <x v="3"/>
  </r>
  <r>
    <n v="1119"/>
    <x v="0"/>
  </r>
  <r>
    <n v="1373"/>
    <x v="1"/>
  </r>
  <r>
    <n v="1727"/>
    <x v="2"/>
  </r>
  <r>
    <n v="573"/>
    <x v="3"/>
  </r>
  <r>
    <n v="1432"/>
    <x v="0"/>
  </r>
  <r>
    <n v="1377"/>
    <x v="1"/>
  </r>
  <r>
    <n v="1359"/>
    <x v="2"/>
  </r>
  <r>
    <n v="684"/>
    <x v="3"/>
  </r>
  <r>
    <n v="730"/>
    <x v="0"/>
  </r>
  <r>
    <n v="1589"/>
    <x v="1"/>
  </r>
  <r>
    <n v="1776"/>
    <x v="2"/>
  </r>
  <r>
    <n v="1529"/>
    <x v="3"/>
  </r>
  <r>
    <n v="1460"/>
    <x v="0"/>
  </r>
  <r>
    <n v="903"/>
    <x v="1"/>
  </r>
  <r>
    <n v="1188"/>
    <x v="2"/>
  </r>
  <r>
    <n v="298"/>
    <x v="3"/>
  </r>
  <r>
    <n v="-144"/>
    <x v="0"/>
  </r>
  <r>
    <n v="901"/>
    <x v="1"/>
  </r>
  <r>
    <n v="1572"/>
    <x v="2"/>
  </r>
  <r>
    <n v="427"/>
    <x v="3"/>
  </r>
  <r>
    <n v="891"/>
    <x v="0"/>
  </r>
  <r>
    <n v="724"/>
    <x v="1"/>
  </r>
  <r>
    <n v="898"/>
    <x v="2"/>
  </r>
  <r>
    <n v="1426"/>
    <x v="3"/>
  </r>
  <r>
    <n v="1225"/>
    <x v="0"/>
  </r>
  <r>
    <n v="748"/>
    <x v="1"/>
  </r>
  <r>
    <n v="569"/>
    <x v="2"/>
  </r>
  <r>
    <n v="-203"/>
    <x v="3"/>
  </r>
  <r>
    <n v="1723"/>
    <x v="0"/>
  </r>
  <r>
    <n v="1202"/>
    <x v="1"/>
  </r>
  <r>
    <n v="1444"/>
    <x v="2"/>
  </r>
  <r>
    <n v="965"/>
    <x v="3"/>
  </r>
  <r>
    <n v="1590"/>
    <x v="0"/>
  </r>
  <r>
    <n v="-37"/>
    <x v="1"/>
  </r>
  <r>
    <n v="1175"/>
    <x v="2"/>
  </r>
  <r>
    <n v="1375"/>
    <x v="3"/>
  </r>
  <r>
    <n v="1707"/>
    <x v="0"/>
  </r>
  <r>
    <n v="708"/>
    <x v="1"/>
  </r>
  <r>
    <n v="1016"/>
    <x v="2"/>
  </r>
  <r>
    <n v="1315"/>
    <x v="3"/>
  </r>
  <r>
    <n v="-119"/>
    <x v="0"/>
  </r>
  <r>
    <n v="899"/>
    <x v="1"/>
  </r>
  <r>
    <n v="212"/>
    <x v="2"/>
  </r>
  <r>
    <n v="1350"/>
    <x v="3"/>
  </r>
  <r>
    <n v="1242"/>
    <x v="0"/>
  </r>
  <r>
    <n v="680"/>
    <x v="1"/>
  </r>
  <r>
    <n v="1116"/>
    <x v="2"/>
  </r>
  <r>
    <n v="1385"/>
    <x v="3"/>
  </r>
  <r>
    <n v="461"/>
    <x v="0"/>
  </r>
  <r>
    <n v="474"/>
    <x v="1"/>
  </r>
  <r>
    <n v="292"/>
    <x v="2"/>
  </r>
  <r>
    <n v="389"/>
    <x v="3"/>
  </r>
  <r>
    <n v="641"/>
    <x v="0"/>
  </r>
  <r>
    <n v="1676"/>
    <x v="1"/>
  </r>
  <r>
    <n v="1467"/>
    <x v="2"/>
  </r>
  <r>
    <n v="167"/>
    <x v="3"/>
  </r>
  <r>
    <n v="1029"/>
    <x v="0"/>
  </r>
  <r>
    <n v="209"/>
    <x v="1"/>
  </r>
  <r>
    <n v="-160"/>
    <x v="2"/>
  </r>
  <r>
    <n v="-175"/>
    <x v="3"/>
  </r>
  <r>
    <n v="53"/>
    <x v="0"/>
  </r>
  <r>
    <n v="145"/>
    <x v="1"/>
  </r>
  <r>
    <n v="1045"/>
    <x v="2"/>
  </r>
  <r>
    <n v="759"/>
    <x v="3"/>
  </r>
  <r>
    <n v="1633"/>
    <x v="0"/>
  </r>
  <r>
    <n v="1539"/>
    <x v="1"/>
  </r>
  <r>
    <n v="948"/>
    <x v="2"/>
  </r>
  <r>
    <n v="1881"/>
    <x v="3"/>
  </r>
  <r>
    <n v="339"/>
    <x v="0"/>
  </r>
  <r>
    <n v="1510"/>
    <x v="1"/>
  </r>
  <r>
    <n v="864"/>
    <x v="2"/>
  </r>
  <r>
    <n v="1656"/>
    <x v="3"/>
  </r>
  <r>
    <n v="407"/>
    <x v="0"/>
  </r>
  <r>
    <n v="269"/>
    <x v="1"/>
  </r>
  <r>
    <n v="-337"/>
    <x v="2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3">
  <r>
    <x v="0"/>
    <s v="2024-06-03"/>
    <n v="1047"/>
    <x v="0"/>
  </r>
  <r>
    <x v="1"/>
    <s v="2024-06-03"/>
    <n v="1002"/>
    <x v="1"/>
  </r>
  <r>
    <x v="2"/>
    <s v="2024-06-03"/>
    <n v="415"/>
    <x v="2"/>
  </r>
  <r>
    <x v="3"/>
    <s v="2024-06-03"/>
    <n v="1090"/>
    <x v="3"/>
  </r>
  <r>
    <x v="4"/>
    <s v="2024-06-10"/>
    <n v="517"/>
    <x v="0"/>
  </r>
  <r>
    <x v="5"/>
    <s v="2024-06-10"/>
    <n v="1283"/>
    <x v="1"/>
  </r>
  <r>
    <x v="6"/>
    <s v="2024-06-10"/>
    <n v="186"/>
    <x v="2"/>
  </r>
  <r>
    <x v="7"/>
    <s v="2024-06-10"/>
    <n v="994"/>
    <x v="3"/>
  </r>
  <r>
    <x v="8"/>
    <s v="2024-06-17"/>
    <n v="893"/>
    <x v="0"/>
  </r>
  <r>
    <x v="9"/>
    <s v="2024-06-17"/>
    <n v="1382"/>
    <x v="1"/>
  </r>
  <r>
    <x v="10"/>
    <s v="2024-06-17"/>
    <n v="1295"/>
    <x v="2"/>
  </r>
  <r>
    <x v="11"/>
    <s v="2024-06-17"/>
    <n v="337"/>
    <x v="3"/>
  </r>
  <r>
    <x v="12"/>
    <s v="2024-06-24"/>
    <n v="629"/>
    <x v="0"/>
  </r>
  <r>
    <x v="13"/>
    <s v="2024-06-24"/>
    <n v="835"/>
    <x v="1"/>
  </r>
  <r>
    <x v="14"/>
    <s v="2024-06-24"/>
    <n v="-123"/>
    <x v="2"/>
  </r>
  <r>
    <x v="15"/>
    <s v="2024-06-24"/>
    <n v="-219"/>
    <x v="3"/>
  </r>
  <r>
    <x v="16"/>
    <s v="2024-07-01"/>
    <n v="64"/>
    <x v="0"/>
  </r>
  <r>
    <x v="17"/>
    <s v="2024-07-01"/>
    <n v="1357"/>
    <x v="1"/>
  </r>
  <r>
    <x v="18"/>
    <s v="2024-07-01"/>
    <n v="91"/>
    <x v="2"/>
  </r>
  <r>
    <x v="19"/>
    <s v="2024-07-01"/>
    <n v="1672"/>
    <x v="3"/>
  </r>
  <r>
    <x v="20"/>
    <s v="2024-07-08"/>
    <n v="309"/>
    <x v="0"/>
  </r>
  <r>
    <x v="21"/>
    <s v="2024-07-08"/>
    <n v="547"/>
    <x v="1"/>
  </r>
  <r>
    <x v="22"/>
    <s v="2024-07-08"/>
    <n v="514"/>
    <x v="2"/>
  </r>
  <r>
    <x v="23"/>
    <s v="2024-07-08"/>
    <n v="-164"/>
    <x v="3"/>
  </r>
  <r>
    <x v="24"/>
    <s v="2024-07-15"/>
    <n v="429"/>
    <x v="0"/>
  </r>
  <r>
    <x v="25"/>
    <s v="2024-07-15"/>
    <n v="160"/>
    <x v="1"/>
  </r>
  <r>
    <x v="26"/>
    <s v="2024-07-15"/>
    <n v="159"/>
    <x v="2"/>
  </r>
  <r>
    <x v="27"/>
    <s v="2024-07-15"/>
    <n v="1316"/>
    <x v="3"/>
  </r>
  <r>
    <x v="28"/>
    <s v="2024-07-22"/>
    <n v="317"/>
    <x v="0"/>
  </r>
  <r>
    <x v="29"/>
    <s v="2024-07-22"/>
    <n v="541"/>
    <x v="1"/>
  </r>
  <r>
    <x v="30"/>
    <s v="2024-07-22"/>
    <n v="-318"/>
    <x v="2"/>
  </r>
  <r>
    <x v="31"/>
    <s v="2024-07-22"/>
    <n v="1495"/>
    <x v="3"/>
  </r>
  <r>
    <x v="32"/>
    <s v="2024-07-29"/>
    <n v="475"/>
    <x v="0"/>
  </r>
  <r>
    <x v="33"/>
    <s v="2024-07-29"/>
    <n v="352"/>
    <x v="1"/>
  </r>
  <r>
    <x v="34"/>
    <s v="2024-07-29"/>
    <n v="-197"/>
    <x v="2"/>
  </r>
  <r>
    <x v="35"/>
    <s v="2024-07-29"/>
    <n v="319"/>
    <x v="3"/>
  </r>
  <r>
    <x v="36"/>
    <s v="2024-08-05"/>
    <n v="1325"/>
    <x v="0"/>
  </r>
  <r>
    <x v="37"/>
    <s v="2024-08-05"/>
    <n v="37"/>
    <x v="1"/>
  </r>
  <r>
    <x v="38"/>
    <s v="2024-08-05"/>
    <n v="76"/>
    <x v="2"/>
  </r>
  <r>
    <x v="39"/>
    <s v="2024-08-05"/>
    <n v="1058"/>
    <x v="3"/>
  </r>
  <r>
    <x v="40"/>
    <s v="2024-08-12"/>
    <n v="1609"/>
    <x v="0"/>
  </r>
  <r>
    <x v="41"/>
    <s v="2024-08-12"/>
    <n v="37"/>
    <x v="1"/>
  </r>
  <r>
    <x v="42"/>
    <s v="2024-08-12"/>
    <n v="1229"/>
    <x v="2"/>
  </r>
  <r>
    <x v="43"/>
    <s v="2024-08-12"/>
    <n v="28"/>
    <x v="3"/>
  </r>
  <r>
    <x v="44"/>
    <s v="2024-08-19"/>
    <n v="1045"/>
    <x v="0"/>
  </r>
  <r>
    <x v="45"/>
    <s v="2024-08-19"/>
    <n v="197"/>
    <x v="1"/>
  </r>
  <r>
    <x v="46"/>
    <s v="2024-08-19"/>
    <n v="333"/>
    <x v="2"/>
  </r>
  <r>
    <x v="9"/>
    <s v="2024-08-19"/>
    <n v="1572"/>
    <x v="3"/>
  </r>
  <r>
    <x v="47"/>
    <s v="2024-08-26"/>
    <n v="1428"/>
    <x v="0"/>
  </r>
  <r>
    <x v="48"/>
    <s v="2024-08-26"/>
    <n v="1100"/>
    <x v="1"/>
  </r>
  <r>
    <x v="49"/>
    <s v="2024-08-26"/>
    <n v="377"/>
    <x v="2"/>
  </r>
  <r>
    <x v="50"/>
    <s v="2024-08-26"/>
    <n v="98"/>
    <x v="3"/>
  </r>
  <r>
    <x v="46"/>
    <s v="2024-09-02"/>
    <n v="1125"/>
    <x v="0"/>
  </r>
  <r>
    <x v="51"/>
    <s v="2024-09-02"/>
    <n v="-32"/>
    <x v="1"/>
  </r>
  <r>
    <x v="52"/>
    <s v="2024-09-02"/>
    <n v="-19"/>
    <x v="2"/>
  </r>
  <r>
    <x v="53"/>
    <s v="2024-09-02"/>
    <n v="1680"/>
    <x v="3"/>
  </r>
  <r>
    <x v="54"/>
    <s v="2024-09-09"/>
    <n v="1025"/>
    <x v="0"/>
  </r>
  <r>
    <x v="55"/>
    <s v="2024-09-09"/>
    <n v="599"/>
    <x v="1"/>
  </r>
  <r>
    <x v="56"/>
    <s v="2024-09-09"/>
    <n v="1706"/>
    <x v="2"/>
  </r>
  <r>
    <x v="57"/>
    <s v="2024-09-09"/>
    <n v="1872"/>
    <x v="3"/>
  </r>
  <r>
    <x v="58"/>
    <s v="2024-09-16"/>
    <n v="1662"/>
    <x v="0"/>
  </r>
  <r>
    <x v="59"/>
    <s v="2024-09-16"/>
    <n v="107"/>
    <x v="1"/>
  </r>
  <r>
    <x v="31"/>
    <s v="2024-09-16"/>
    <n v="118"/>
    <x v="2"/>
  </r>
  <r>
    <x v="60"/>
    <s v="2024-09-16"/>
    <n v="285"/>
    <x v="3"/>
  </r>
  <r>
    <x v="61"/>
    <s v="2024-09-23"/>
    <n v="-20"/>
    <x v="0"/>
  </r>
  <r>
    <x v="62"/>
    <s v="2024-09-23"/>
    <n v="262"/>
    <x v="1"/>
  </r>
  <r>
    <x v="63"/>
    <s v="2024-09-23"/>
    <n v="439"/>
    <x v="2"/>
  </r>
  <r>
    <x v="64"/>
    <s v="2024-09-23"/>
    <n v="1484"/>
    <x v="3"/>
  </r>
  <r>
    <x v="40"/>
    <s v="2024-09-30"/>
    <n v="576"/>
    <x v="0"/>
  </r>
  <r>
    <x v="65"/>
    <s v="2024-09-30"/>
    <n v="386"/>
    <x v="1"/>
  </r>
  <r>
    <x v="66"/>
    <s v="2024-09-30"/>
    <n v="37"/>
    <x v="2"/>
  </r>
  <r>
    <x v="67"/>
    <s v="2024-09-30"/>
    <n v="1657"/>
    <x v="3"/>
  </r>
  <r>
    <x v="68"/>
    <s v="2024-10-07"/>
    <n v="540"/>
    <x v="0"/>
  </r>
  <r>
    <x v="69"/>
    <s v="2024-10-07"/>
    <n v="1603"/>
    <x v="1"/>
  </r>
  <r>
    <x v="70"/>
    <s v="2024-10-07"/>
    <n v="1044"/>
    <x v="2"/>
  </r>
  <r>
    <x v="71"/>
    <s v="2024-10-07"/>
    <n v="902"/>
    <x v="3"/>
  </r>
  <r>
    <x v="27"/>
    <s v="2024-10-14"/>
    <n v="-106"/>
    <x v="0"/>
  </r>
  <r>
    <x v="52"/>
    <s v="2024-10-14"/>
    <n v="1150"/>
    <x v="1"/>
  </r>
  <r>
    <x v="72"/>
    <s v="2024-10-14"/>
    <n v="-49"/>
    <x v="2"/>
  </r>
  <r>
    <x v="49"/>
    <s v="2024-10-14"/>
    <n v="72"/>
    <x v="3"/>
  </r>
  <r>
    <x v="73"/>
    <s v="2024-10-21"/>
    <n v="445"/>
    <x v="0"/>
  </r>
  <r>
    <x v="74"/>
    <s v="2024-10-21"/>
    <n v="1693"/>
    <x v="1"/>
  </r>
  <r>
    <x v="75"/>
    <s v="2024-10-21"/>
    <n v="1332"/>
    <x v="2"/>
  </r>
  <r>
    <x v="76"/>
    <s v="2024-10-21"/>
    <n v="98"/>
    <x v="3"/>
  </r>
  <r>
    <x v="35"/>
    <s v="2024-10-28"/>
    <n v="885"/>
    <x v="0"/>
  </r>
  <r>
    <x v="77"/>
    <s v="2024-10-28"/>
    <n v="1625"/>
    <x v="1"/>
  </r>
  <r>
    <x v="78"/>
    <s v="2024-10-28"/>
    <n v="1706"/>
    <x v="2"/>
  </r>
  <r>
    <x v="79"/>
    <s v="2024-10-28"/>
    <n v="291"/>
    <x v="3"/>
  </r>
  <r>
    <x v="80"/>
    <s v="2024-11-04"/>
    <n v="1119"/>
    <x v="0"/>
  </r>
  <r>
    <x v="81"/>
    <s v="2024-11-04"/>
    <n v="1373"/>
    <x v="1"/>
  </r>
  <r>
    <x v="82"/>
    <s v="2024-11-04"/>
    <n v="1727"/>
    <x v="2"/>
  </r>
  <r>
    <x v="54"/>
    <s v="2024-11-04"/>
    <n v="573"/>
    <x v="3"/>
  </r>
  <r>
    <x v="83"/>
    <s v="2024-11-11"/>
    <n v="1432"/>
    <x v="0"/>
  </r>
  <r>
    <x v="71"/>
    <s v="2024-11-11"/>
    <n v="1377"/>
    <x v="1"/>
  </r>
  <r>
    <x v="84"/>
    <s v="2024-11-11"/>
    <n v="1359"/>
    <x v="2"/>
  </r>
  <r>
    <x v="85"/>
    <s v="2024-11-11"/>
    <n v="684"/>
    <x v="3"/>
  </r>
  <r>
    <x v="86"/>
    <s v="2024-11-18"/>
    <n v="730"/>
    <x v="0"/>
  </r>
  <r>
    <x v="47"/>
    <s v="2024-11-18"/>
    <n v="1589"/>
    <x v="1"/>
  </r>
  <r>
    <x v="87"/>
    <s v="2024-11-18"/>
    <n v="1776"/>
    <x v="2"/>
  </r>
  <r>
    <x v="88"/>
    <s v="2024-11-18"/>
    <n v="1529"/>
    <x v="3"/>
  </r>
  <r>
    <x v="68"/>
    <s v="2024-11-25"/>
    <n v="1460"/>
    <x v="0"/>
  </r>
  <r>
    <x v="89"/>
    <s v="2024-11-25"/>
    <n v="903"/>
    <x v="1"/>
  </r>
  <r>
    <x v="90"/>
    <s v="2024-11-25"/>
    <n v="1188"/>
    <x v="2"/>
  </r>
  <r>
    <x v="91"/>
    <s v="2024-11-25"/>
    <n v="298"/>
    <x v="3"/>
  </r>
  <r>
    <x v="92"/>
    <s v="2024-12-02"/>
    <n v="-144"/>
    <x v="0"/>
  </r>
  <r>
    <x v="93"/>
    <s v="2024-12-02"/>
    <n v="901"/>
    <x v="1"/>
  </r>
  <r>
    <x v="94"/>
    <s v="2024-12-02"/>
    <n v="1572"/>
    <x v="2"/>
  </r>
  <r>
    <x v="95"/>
    <s v="2024-12-02"/>
    <n v="427"/>
    <x v="3"/>
  </r>
  <r>
    <x v="96"/>
    <s v="2024-12-09"/>
    <n v="891"/>
    <x v="0"/>
  </r>
  <r>
    <x v="97"/>
    <s v="2024-12-09"/>
    <n v="724"/>
    <x v="1"/>
  </r>
  <r>
    <x v="98"/>
    <s v="2024-12-09"/>
    <n v="898"/>
    <x v="2"/>
  </r>
  <r>
    <x v="99"/>
    <s v="2024-12-09"/>
    <n v="1426"/>
    <x v="3"/>
  </r>
  <r>
    <x v="100"/>
    <s v="2024-12-16"/>
    <n v="1225"/>
    <x v="0"/>
  </r>
  <r>
    <x v="101"/>
    <s v="2024-12-16"/>
    <n v="748"/>
    <x v="1"/>
  </r>
  <r>
    <x v="102"/>
    <s v="2024-12-16"/>
    <n v="569"/>
    <x v="2"/>
  </r>
  <r>
    <x v="103"/>
    <s v="2024-12-16"/>
    <n v="-203"/>
    <x v="3"/>
  </r>
  <r>
    <x v="104"/>
    <s v="2024-12-23"/>
    <n v="1723"/>
    <x v="0"/>
  </r>
  <r>
    <x v="104"/>
    <s v="2024-12-23"/>
    <n v="1202"/>
    <x v="1"/>
  </r>
  <r>
    <x v="105"/>
    <s v="2024-12-23"/>
    <n v="1444"/>
    <x v="2"/>
  </r>
  <r>
    <x v="54"/>
    <s v="2024-12-23"/>
    <n v="965"/>
    <x v="3"/>
  </r>
  <r>
    <x v="97"/>
    <s v="2024-12-30"/>
    <n v="1590"/>
    <x v="0"/>
  </r>
  <r>
    <x v="100"/>
    <s v="2024-12-30"/>
    <n v="-37"/>
    <x v="1"/>
  </r>
  <r>
    <x v="92"/>
    <s v="2024-12-30"/>
    <n v="1175"/>
    <x v="2"/>
  </r>
  <r>
    <x v="106"/>
    <s v="2024-12-30"/>
    <n v="1375"/>
    <x v="3"/>
  </r>
  <r>
    <x v="107"/>
    <s v="2025-01-06"/>
    <n v="1707"/>
    <x v="0"/>
  </r>
  <r>
    <x v="61"/>
    <s v="2025-01-06"/>
    <n v="708"/>
    <x v="1"/>
  </r>
  <r>
    <x v="77"/>
    <s v="2025-01-06"/>
    <n v="1016"/>
    <x v="2"/>
  </r>
  <r>
    <x v="80"/>
    <s v="2025-01-06"/>
    <n v="1315"/>
    <x v="3"/>
  </r>
  <r>
    <x v="11"/>
    <s v="2025-01-13"/>
    <n v="-119"/>
    <x v="0"/>
  </r>
  <r>
    <x v="108"/>
    <s v="2025-01-13"/>
    <n v="899"/>
    <x v="1"/>
  </r>
  <r>
    <x v="54"/>
    <s v="2025-01-13"/>
    <n v="212"/>
    <x v="2"/>
  </r>
  <r>
    <x v="27"/>
    <s v="2025-01-13"/>
    <n v="1350"/>
    <x v="3"/>
  </r>
  <r>
    <x v="109"/>
    <s v="2025-01-20"/>
    <n v="1242"/>
    <x v="0"/>
  </r>
  <r>
    <x v="110"/>
    <s v="2025-01-20"/>
    <n v="680"/>
    <x v="1"/>
  </r>
  <r>
    <x v="111"/>
    <s v="2025-01-20"/>
    <n v="1116"/>
    <x v="2"/>
  </r>
  <r>
    <x v="112"/>
    <s v="2025-01-20"/>
    <n v="1385"/>
    <x v="3"/>
  </r>
  <r>
    <x v="31"/>
    <s v="2025-01-27"/>
    <n v="461"/>
    <x v="0"/>
  </r>
  <r>
    <x v="63"/>
    <s v="2025-01-27"/>
    <n v="474"/>
    <x v="1"/>
  </r>
  <r>
    <x v="113"/>
    <s v="2025-01-27"/>
    <n v="292"/>
    <x v="2"/>
  </r>
  <r>
    <x v="114"/>
    <s v="2025-01-27"/>
    <n v="389"/>
    <x v="3"/>
  </r>
  <r>
    <x v="115"/>
    <s v="2025-02-03"/>
    <n v="641"/>
    <x v="0"/>
  </r>
  <r>
    <x v="95"/>
    <s v="2025-02-03"/>
    <n v="1676"/>
    <x v="1"/>
  </r>
  <r>
    <x v="100"/>
    <s v="2025-02-03"/>
    <n v="1467"/>
    <x v="2"/>
  </r>
  <r>
    <x v="69"/>
    <s v="2025-02-03"/>
    <n v="167"/>
    <x v="3"/>
  </r>
  <r>
    <x v="3"/>
    <s v="2025-02-10"/>
    <n v="1029"/>
    <x v="0"/>
  </r>
  <r>
    <x v="116"/>
    <s v="2025-02-10"/>
    <n v="209"/>
    <x v="1"/>
  </r>
  <r>
    <x v="54"/>
    <s v="2025-02-10"/>
    <n v="-160"/>
    <x v="2"/>
  </r>
  <r>
    <x v="55"/>
    <s v="2025-02-10"/>
    <n v="-175"/>
    <x v="3"/>
  </r>
  <r>
    <x v="117"/>
    <s v="2025-02-17"/>
    <n v="53"/>
    <x v="0"/>
  </r>
  <r>
    <x v="118"/>
    <s v="2025-02-17"/>
    <n v="145"/>
    <x v="1"/>
  </r>
  <r>
    <x v="62"/>
    <s v="2025-02-17"/>
    <n v="1045"/>
    <x v="2"/>
  </r>
  <r>
    <x v="119"/>
    <s v="2025-02-17"/>
    <n v="759"/>
    <x v="3"/>
  </r>
  <r>
    <x v="120"/>
    <s v="2025-02-24"/>
    <n v="1633"/>
    <x v="0"/>
  </r>
  <r>
    <x v="72"/>
    <s v="2025-02-24"/>
    <n v="1539"/>
    <x v="1"/>
  </r>
  <r>
    <x v="121"/>
    <s v="2025-02-24"/>
    <n v="948"/>
    <x v="2"/>
  </r>
  <r>
    <x v="122"/>
    <s v="2025-02-24"/>
    <n v="1881"/>
    <x v="3"/>
  </r>
  <r>
    <x v="123"/>
    <s v="2025-03-03"/>
    <n v="339"/>
    <x v="0"/>
  </r>
  <r>
    <x v="124"/>
    <s v="2025-03-03"/>
    <n v="1510"/>
    <x v="1"/>
  </r>
  <r>
    <x v="38"/>
    <s v="2025-03-03"/>
    <n v="864"/>
    <x v="2"/>
  </r>
  <r>
    <x v="125"/>
    <s v="2025-03-03"/>
    <n v="1656"/>
    <x v="3"/>
  </r>
  <r>
    <x v="126"/>
    <s v="2025-03-10"/>
    <n v="407"/>
    <x v="0"/>
  </r>
  <r>
    <x v="127"/>
    <s v="2025-03-10"/>
    <n v="269"/>
    <x v="1"/>
  </r>
  <r>
    <x v="128"/>
    <s v="2025-03-10"/>
    <n v="-337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E33CCF-41B1-4E7C-B7FA-D517F688631B}" name="PivotTable1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O51:P89" firstHeaderRow="1" firstDataRow="1" firstDataCol="1"/>
  <pivotFields count="4">
    <pivotField dataField="1" showAll="0"/>
    <pivotField axis="axisRow" showAll="0">
      <items count="4">
        <item x="0"/>
        <item x="1"/>
        <item x="2"/>
        <item t="default"/>
      </items>
    </pivotField>
    <pivotField axis="axisRow" showAll="0">
      <items count="7">
        <item x="0"/>
        <item x="1"/>
        <item x="3"/>
        <item x="4"/>
        <item x="5"/>
        <item x="2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</pivotFields>
  <rowFields count="3">
    <field x="1"/>
    <field x="2"/>
    <field x="3"/>
  </rowFields>
  <rowItems count="38">
    <i>
      <x/>
    </i>
    <i r="1">
      <x/>
    </i>
    <i r="2">
      <x v="2"/>
    </i>
    <i r="2">
      <x v="3"/>
    </i>
    <i r="1">
      <x v="2"/>
    </i>
    <i r="2">
      <x/>
    </i>
    <i r="1">
      <x v="3"/>
    </i>
    <i r="2">
      <x v="3"/>
    </i>
    <i r="1">
      <x v="4"/>
    </i>
    <i r="2">
      <x v="1"/>
    </i>
    <i r="1">
      <x v="5"/>
    </i>
    <i r="2">
      <x v="3"/>
    </i>
    <i>
      <x v="1"/>
    </i>
    <i r="1">
      <x/>
    </i>
    <i r="2">
      <x v="3"/>
    </i>
    <i r="1">
      <x v="1"/>
    </i>
    <i r="2">
      <x v="3"/>
    </i>
    <i r="1">
      <x v="3"/>
    </i>
    <i r="2">
      <x v="3"/>
    </i>
    <i r="1">
      <x v="4"/>
    </i>
    <i r="2">
      <x v="1"/>
    </i>
    <i r="1">
      <x v="5"/>
    </i>
    <i r="2">
      <x v="3"/>
    </i>
    <i>
      <x v="2"/>
    </i>
    <i r="1">
      <x/>
    </i>
    <i r="2">
      <x v="3"/>
    </i>
    <i r="1">
      <x v="1"/>
    </i>
    <i r="2">
      <x v="3"/>
    </i>
    <i r="1">
      <x v="2"/>
    </i>
    <i r="2">
      <x/>
    </i>
    <i r="2">
      <x v="3"/>
    </i>
    <i r="1">
      <x v="3"/>
    </i>
    <i r="2">
      <x v="3"/>
    </i>
    <i r="1">
      <x v="4"/>
    </i>
    <i r="2">
      <x v="1"/>
    </i>
    <i r="1">
      <x v="5"/>
    </i>
    <i r="2">
      <x v="3"/>
    </i>
    <i t="grand">
      <x/>
    </i>
  </rowItems>
  <colItems count="1">
    <i/>
  </colItems>
  <dataFields count="1">
    <dataField name="Average of Clicks" fld="0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FBBD77-0E2B-4C3E-A949-CBB4756DDA37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O12:S43" firstHeaderRow="0" firstDataRow="1" firstDataCol="1"/>
  <pivotFields count="6">
    <pivotField dataField="1" showAll="0">
      <items count="294">
        <item x="60"/>
        <item x="257"/>
        <item x="137"/>
        <item x="213"/>
        <item x="56"/>
        <item x="172"/>
        <item x="169"/>
        <item x="67"/>
        <item x="220"/>
        <item x="225"/>
        <item x="204"/>
        <item x="69"/>
        <item x="85"/>
        <item x="132"/>
        <item x="177"/>
        <item x="239"/>
        <item x="26"/>
        <item x="29"/>
        <item x="39"/>
        <item x="102"/>
        <item x="207"/>
        <item x="252"/>
        <item x="276"/>
        <item x="217"/>
        <item x="175"/>
        <item x="79"/>
        <item x="119"/>
        <item x="147"/>
        <item x="116"/>
        <item x="195"/>
        <item x="51"/>
        <item x="242"/>
        <item x="284"/>
        <item x="241"/>
        <item x="58"/>
        <item x="189"/>
        <item x="233"/>
        <item x="200"/>
        <item x="50"/>
        <item x="75"/>
        <item x="148"/>
        <item x="99"/>
        <item x="165"/>
        <item x="192"/>
        <item x="18"/>
        <item x="160"/>
        <item x="154"/>
        <item x="80"/>
        <item x="44"/>
        <item x="73"/>
        <item x="279"/>
        <item x="12"/>
        <item x="186"/>
        <item x="212"/>
        <item x="255"/>
        <item x="53"/>
        <item x="93"/>
        <item x="74"/>
        <item x="229"/>
        <item x="88"/>
        <item x="227"/>
        <item x="66"/>
        <item x="167"/>
        <item x="244"/>
        <item x="31"/>
        <item x="224"/>
        <item x="90"/>
        <item x="84"/>
        <item x="0"/>
        <item x="274"/>
        <item x="209"/>
        <item x="40"/>
        <item x="268"/>
        <item x="20"/>
        <item x="95"/>
        <item x="21"/>
        <item x="181"/>
        <item x="32"/>
        <item x="72"/>
        <item x="52"/>
        <item x="143"/>
        <item x="219"/>
        <item x="152"/>
        <item x="97"/>
        <item x="10"/>
        <item x="190"/>
        <item x="215"/>
        <item x="78"/>
        <item x="81"/>
        <item x="71"/>
        <item x="211"/>
        <item x="196"/>
        <item x="258"/>
        <item x="139"/>
        <item x="63"/>
        <item x="11"/>
        <item x="126"/>
        <item x="46"/>
        <item x="287"/>
        <item x="109"/>
        <item x="184"/>
        <item x="115"/>
        <item x="136"/>
        <item x="127"/>
        <item x="25"/>
        <item x="245"/>
        <item x="77"/>
        <item x="282"/>
        <item x="153"/>
        <item x="249"/>
        <item x="123"/>
        <item x="47"/>
        <item x="289"/>
        <item x="41"/>
        <item x="57"/>
        <item x="49"/>
        <item x="86"/>
        <item x="198"/>
        <item x="30"/>
        <item x="149"/>
        <item x="134"/>
        <item x="42"/>
        <item x="226"/>
        <item x="3"/>
        <item x="162"/>
        <item x="112"/>
        <item x="193"/>
        <item x="68"/>
        <item x="27"/>
        <item x="291"/>
        <item x="256"/>
        <item x="65"/>
        <item x="285"/>
        <item x="91"/>
        <item x="247"/>
        <item x="206"/>
        <item x="45"/>
        <item x="108"/>
        <item x="182"/>
        <item x="133"/>
        <item x="281"/>
        <item x="48"/>
        <item x="2"/>
        <item x="55"/>
        <item x="62"/>
        <item x="124"/>
        <item x="5"/>
        <item x="54"/>
        <item x="202"/>
        <item x="17"/>
        <item x="131"/>
        <item x="24"/>
        <item x="35"/>
        <item x="140"/>
        <item x="76"/>
        <item x="166"/>
        <item x="250"/>
        <item x="122"/>
        <item x="28"/>
        <item x="171"/>
        <item x="23"/>
        <item x="130"/>
        <item x="36"/>
        <item x="203"/>
        <item x="273"/>
        <item x="135"/>
        <item x="92"/>
        <item x="228"/>
        <item x="178"/>
        <item x="159"/>
        <item x="141"/>
        <item x="216"/>
        <item x="150"/>
        <item x="183"/>
        <item x="275"/>
        <item x="43"/>
        <item x="278"/>
        <item x="83"/>
        <item x="156"/>
        <item x="117"/>
        <item x="288"/>
        <item x="15"/>
        <item x="107"/>
        <item x="267"/>
        <item x="4"/>
        <item x="145"/>
        <item x="37"/>
        <item x="264"/>
        <item x="164"/>
        <item x="236"/>
        <item x="251"/>
        <item x="266"/>
        <item x="106"/>
        <item x="101"/>
        <item x="223"/>
        <item x="100"/>
        <item x="113"/>
        <item x="174"/>
        <item x="194"/>
        <item x="128"/>
        <item x="248"/>
        <item x="230"/>
        <item x="197"/>
        <item x="263"/>
        <item x="33"/>
        <item x="8"/>
        <item x="246"/>
        <item x="173"/>
        <item x="170"/>
        <item x="89"/>
        <item x="163"/>
        <item x="120"/>
        <item x="243"/>
        <item x="199"/>
        <item x="168"/>
        <item x="6"/>
        <item x="87"/>
        <item x="205"/>
        <item x="14"/>
        <item x="7"/>
        <item x="240"/>
        <item x="22"/>
        <item x="111"/>
        <item x="277"/>
        <item x="105"/>
        <item x="1"/>
        <item x="70"/>
        <item x="142"/>
        <item x="238"/>
        <item x="121"/>
        <item x="96"/>
        <item x="82"/>
        <item x="259"/>
        <item x="260"/>
        <item x="232"/>
        <item x="129"/>
        <item x="269"/>
        <item x="9"/>
        <item x="13"/>
        <item x="201"/>
        <item x="272"/>
        <item x="185"/>
        <item x="180"/>
        <item x="144"/>
        <item x="290"/>
        <item x="234"/>
        <item x="253"/>
        <item x="188"/>
        <item x="118"/>
        <item x="110"/>
        <item x="16"/>
        <item x="98"/>
        <item x="214"/>
        <item x="292"/>
        <item x="157"/>
        <item x="61"/>
        <item x="270"/>
        <item x="34"/>
        <item x="179"/>
        <item x="114"/>
        <item x="262"/>
        <item x="261"/>
        <item x="210"/>
        <item x="103"/>
        <item x="237"/>
        <item x="283"/>
        <item x="155"/>
        <item x="218"/>
        <item x="176"/>
        <item x="64"/>
        <item x="231"/>
        <item x="286"/>
        <item x="94"/>
        <item x="38"/>
        <item x="235"/>
        <item x="161"/>
        <item x="151"/>
        <item x="280"/>
        <item x="191"/>
        <item x="222"/>
        <item x="146"/>
        <item x="221"/>
        <item x="104"/>
        <item x="19"/>
        <item x="125"/>
        <item x="254"/>
        <item x="187"/>
        <item x="208"/>
        <item x="59"/>
        <item x="271"/>
        <item x="138"/>
        <item x="158"/>
        <item x="265"/>
        <item t="default"/>
      </items>
    </pivotField>
    <pivotField dataField="1" showAll="0"/>
    <pivotField dataField="1" showAll="0"/>
    <pivotField dataField="1" showAll="0"/>
    <pivotField axis="axisRow" showAll="0">
      <items count="7">
        <item x="3"/>
        <item x="4"/>
        <item x="0"/>
        <item x="2"/>
        <item x="1"/>
        <item x="5"/>
        <item t="default"/>
      </items>
    </pivotField>
    <pivotField axis="axisRow" showAll="0">
      <items count="5">
        <item x="3"/>
        <item x="2"/>
        <item x="0"/>
        <item x="1"/>
        <item t="default"/>
      </items>
    </pivotField>
  </pivotFields>
  <rowFields count="2">
    <field x="4"/>
    <field x="5"/>
  </rowFields>
  <rowItems count="3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>
      <x v="5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Likes" fld="0" baseField="0" baseItem="0"/>
    <dataField name="Sum of Shares" fld="1" baseField="0" baseItem="0"/>
    <dataField name="Sum of Comments" fld="2" baseField="0" baseItem="0"/>
    <dataField name="Sum of Impression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E75D15-E6EC-44BE-8142-08379724DC5A}" name="PivotTable5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M21:N26" firstHeaderRow="1" firstDataRow="1" firstDataCol="1"/>
  <pivotFields count="2">
    <pivotField axis="axisRow" showAll="0">
      <items count="5">
        <item x="1"/>
        <item x="0"/>
        <item x="2"/>
        <item x="3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d_Spend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4459CE-2D7F-4D7C-9AAA-B2B08325E68A}" name="PivotTable3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M7:N12" firstHeaderRow="1" firstDataRow="1" firstDataCol="1"/>
  <pivotFields count="2">
    <pivotField axis="axisRow" showAll="0" sortType="descending">
      <items count="5">
        <item x="1"/>
        <item x="0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>
      <items count="173">
        <item x="74"/>
        <item x="163"/>
        <item x="68"/>
        <item x="55"/>
        <item x="65"/>
        <item x="143"/>
        <item x="99"/>
        <item x="168"/>
        <item x="147"/>
        <item x="21"/>
        <item x="81"/>
        <item x="120"/>
        <item x="106"/>
        <item x="66"/>
        <item x="112"/>
        <item x="61"/>
        <item x="5"/>
        <item x="161"/>
        <item x="8"/>
        <item x="153"/>
        <item x="115"/>
        <item x="160"/>
        <item x="15"/>
        <item x="98"/>
        <item x="89"/>
        <item x="94"/>
        <item x="129"/>
        <item x="23"/>
        <item x="108"/>
        <item x="109"/>
        <item x="7"/>
        <item x="152"/>
        <item x="44"/>
        <item x="116"/>
        <item x="64"/>
        <item x="83"/>
        <item x="58"/>
        <item x="35"/>
        <item x="11"/>
        <item x="14"/>
        <item x="166"/>
        <item x="121"/>
        <item x="24"/>
        <item x="95"/>
        <item x="130"/>
        <item x="53"/>
        <item x="72"/>
        <item x="122"/>
        <item x="49"/>
        <item x="169"/>
        <item x="6"/>
        <item x="39"/>
        <item x="32"/>
        <item x="3"/>
        <item x="101"/>
        <item x="133"/>
        <item x="34"/>
        <item x="79"/>
        <item x="17"/>
        <item x="154"/>
        <item x="117"/>
        <item x="137"/>
        <item x="27"/>
        <item x="125"/>
        <item x="22"/>
        <item x="91"/>
        <item x="151"/>
        <item x="96"/>
        <item x="157"/>
        <item x="142"/>
        <item x="69"/>
        <item x="1"/>
        <item x="141"/>
        <item x="92"/>
        <item x="167"/>
        <item x="80"/>
        <item x="118"/>
        <item x="110"/>
        <item x="30"/>
        <item x="77"/>
        <item x="43"/>
        <item x="102"/>
        <item x="31"/>
        <item x="146"/>
        <item x="165"/>
        <item x="114"/>
        <item x="84"/>
        <item x="162"/>
        <item x="47"/>
        <item x="78"/>
        <item x="73"/>
        <item x="41"/>
        <item x="85"/>
        <item x="164"/>
        <item x="37"/>
        <item x="18"/>
        <item x="93"/>
        <item x="40"/>
        <item x="67"/>
        <item x="148"/>
        <item x="97"/>
        <item x="51"/>
        <item x="25"/>
        <item x="155"/>
        <item x="75"/>
        <item x="158"/>
        <item x="135"/>
        <item x="103"/>
        <item x="156"/>
        <item x="159"/>
        <item x="171"/>
        <item x="82"/>
        <item x="12"/>
        <item x="123"/>
        <item x="127"/>
        <item x="50"/>
        <item x="139"/>
        <item x="46"/>
        <item x="131"/>
        <item x="90"/>
        <item x="62"/>
        <item x="100"/>
        <item x="150"/>
        <item x="170"/>
        <item x="33"/>
        <item x="107"/>
        <item x="134"/>
        <item x="36"/>
        <item x="29"/>
        <item x="28"/>
        <item x="87"/>
        <item x="52"/>
        <item x="126"/>
        <item x="0"/>
        <item x="104"/>
        <item x="9"/>
        <item x="63"/>
        <item x="10"/>
        <item x="111"/>
        <item x="76"/>
        <item x="2"/>
        <item x="113"/>
        <item x="105"/>
        <item x="145"/>
        <item x="42"/>
        <item x="26"/>
        <item x="60"/>
        <item x="136"/>
        <item x="144"/>
        <item x="86"/>
        <item x="19"/>
        <item x="20"/>
        <item x="45"/>
        <item x="71"/>
        <item x="57"/>
        <item x="128"/>
        <item x="48"/>
        <item x="4"/>
        <item x="132"/>
        <item x="54"/>
        <item x="13"/>
        <item x="59"/>
        <item x="119"/>
        <item x="56"/>
        <item x="70"/>
        <item x="16"/>
        <item x="140"/>
        <item x="138"/>
        <item x="88"/>
        <item x="38"/>
        <item x="149"/>
        <item x="124"/>
        <item t="default"/>
      </items>
    </pivotField>
  </pivotFields>
  <rowFields count="1">
    <field x="0"/>
  </rowFields>
  <rowItems count="5">
    <i>
      <x v="1"/>
    </i>
    <i>
      <x v="2"/>
    </i>
    <i>
      <x/>
    </i>
    <i>
      <x v="3"/>
    </i>
    <i t="grand">
      <x/>
    </i>
  </rowItems>
  <colItems count="1">
    <i/>
  </colItems>
  <dataFields count="1">
    <dataField name="Sum of Engagement_Rate" fld="1" baseField="0" baseItem="0"/>
  </dataFields>
  <formats count="2">
    <format dxfId="53">
      <pivotArea collapsedLevelsAreSubtotals="1" fieldPosition="0">
        <references count="1">
          <reference field="0" count="1">
            <x v="1"/>
          </reference>
        </references>
      </pivotArea>
    </format>
    <format dxfId="52">
      <pivotArea dataOnly="0" labelOnly="1" fieldPosition="0">
        <references count="1">
          <reference field="0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E23CD7-630C-4501-AA32-0155ECFE39C1}" name="PivotTable6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K75:R81" firstHeaderRow="1" firstDataRow="2" firstDataCol="1"/>
  <pivotFields count="3">
    <pivotField axis="axisRow" showAll="0">
      <items count="5">
        <item x="3"/>
        <item x="2"/>
        <item x="0"/>
        <item x="1"/>
        <item t="default"/>
      </items>
    </pivotField>
    <pivotField axis="axisCol" showAll="0">
      <items count="7">
        <item x="3"/>
        <item x="4"/>
        <item x="0"/>
        <item x="2"/>
        <item x="1"/>
        <item x="5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Reach" fld="2" subtotal="count" baseField="0" baseItem="0"/>
  </dataFields>
  <formats count="8">
    <format dxfId="33">
      <pivotArea type="origin" dataOnly="0" labelOnly="1" outline="0" fieldPosition="0"/>
    </format>
    <format dxfId="32">
      <pivotArea field="1" type="button" dataOnly="0" labelOnly="1" outline="0" axis="axisCol" fieldPosition="0"/>
    </format>
    <format dxfId="31">
      <pivotArea type="topRight" dataOnly="0" labelOnly="1" outline="0" fieldPosition="0"/>
    </format>
    <format dxfId="30">
      <pivotArea field="0" type="button" dataOnly="0" labelOnly="1" outline="0" axis="axisRow" fieldPosition="0"/>
    </format>
    <format dxfId="29">
      <pivotArea dataOnly="0" labelOnly="1" fieldPosition="0">
        <references count="1">
          <reference field="1" count="0"/>
        </references>
      </pivotArea>
    </format>
    <format dxfId="28">
      <pivotArea dataOnly="0" labelOnly="1" grandCol="1" outline="0" fieldPosition="0"/>
    </format>
    <format dxfId="27">
      <pivotArea dataOnly="0" grandRow="1" fieldPosition="0"/>
    </format>
    <format dxfId="26">
      <pivotArea dataOnly="0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CFD979-7B19-494F-AD1D-4C0BF09A5F5D}" name="PivotTable3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K66:O71" firstHeaderRow="0" firstDataRow="1" firstDataCol="1"/>
  <pivotFields count="5">
    <pivotField dataField="1" showAll="0">
      <items count="294">
        <item x="60"/>
        <item x="257"/>
        <item x="137"/>
        <item x="213"/>
        <item x="56"/>
        <item x="172"/>
        <item x="169"/>
        <item x="67"/>
        <item x="220"/>
        <item x="225"/>
        <item x="204"/>
        <item x="69"/>
        <item x="85"/>
        <item x="132"/>
        <item x="177"/>
        <item x="239"/>
        <item x="26"/>
        <item x="29"/>
        <item x="39"/>
        <item x="102"/>
        <item x="207"/>
        <item x="252"/>
        <item x="276"/>
        <item x="217"/>
        <item x="175"/>
        <item x="79"/>
        <item x="119"/>
        <item x="147"/>
        <item x="116"/>
        <item x="195"/>
        <item x="51"/>
        <item x="242"/>
        <item x="284"/>
        <item x="241"/>
        <item x="58"/>
        <item x="189"/>
        <item x="233"/>
        <item x="200"/>
        <item x="50"/>
        <item x="75"/>
        <item x="148"/>
        <item x="99"/>
        <item x="165"/>
        <item x="192"/>
        <item x="18"/>
        <item x="160"/>
        <item x="154"/>
        <item x="80"/>
        <item x="44"/>
        <item x="73"/>
        <item x="279"/>
        <item x="12"/>
        <item x="186"/>
        <item x="212"/>
        <item x="255"/>
        <item x="53"/>
        <item x="93"/>
        <item x="74"/>
        <item x="229"/>
        <item x="88"/>
        <item x="227"/>
        <item x="66"/>
        <item x="167"/>
        <item x="244"/>
        <item x="31"/>
        <item x="224"/>
        <item x="90"/>
        <item x="84"/>
        <item x="0"/>
        <item x="274"/>
        <item x="209"/>
        <item x="40"/>
        <item x="268"/>
        <item x="20"/>
        <item x="95"/>
        <item x="21"/>
        <item x="181"/>
        <item x="32"/>
        <item x="72"/>
        <item x="52"/>
        <item x="143"/>
        <item x="219"/>
        <item x="152"/>
        <item x="97"/>
        <item x="10"/>
        <item x="190"/>
        <item x="215"/>
        <item x="78"/>
        <item x="81"/>
        <item x="71"/>
        <item x="211"/>
        <item x="196"/>
        <item x="258"/>
        <item x="139"/>
        <item x="63"/>
        <item x="11"/>
        <item x="126"/>
        <item x="46"/>
        <item x="287"/>
        <item x="109"/>
        <item x="184"/>
        <item x="115"/>
        <item x="136"/>
        <item x="127"/>
        <item x="25"/>
        <item x="245"/>
        <item x="77"/>
        <item x="282"/>
        <item x="153"/>
        <item x="249"/>
        <item x="123"/>
        <item x="47"/>
        <item x="289"/>
        <item x="41"/>
        <item x="57"/>
        <item x="49"/>
        <item x="86"/>
        <item x="198"/>
        <item x="30"/>
        <item x="149"/>
        <item x="134"/>
        <item x="42"/>
        <item x="226"/>
        <item x="3"/>
        <item x="162"/>
        <item x="112"/>
        <item x="193"/>
        <item x="68"/>
        <item x="27"/>
        <item x="291"/>
        <item x="256"/>
        <item x="65"/>
        <item x="285"/>
        <item x="91"/>
        <item x="247"/>
        <item x="206"/>
        <item x="45"/>
        <item x="108"/>
        <item x="182"/>
        <item x="133"/>
        <item x="281"/>
        <item x="48"/>
        <item x="2"/>
        <item x="55"/>
        <item x="62"/>
        <item x="124"/>
        <item x="5"/>
        <item x="54"/>
        <item x="202"/>
        <item x="17"/>
        <item x="131"/>
        <item x="24"/>
        <item x="35"/>
        <item x="140"/>
        <item x="76"/>
        <item x="166"/>
        <item x="250"/>
        <item x="122"/>
        <item x="28"/>
        <item x="171"/>
        <item x="23"/>
        <item x="130"/>
        <item x="36"/>
        <item x="203"/>
        <item x="273"/>
        <item x="135"/>
        <item x="92"/>
        <item x="228"/>
        <item x="178"/>
        <item x="159"/>
        <item x="141"/>
        <item x="216"/>
        <item x="150"/>
        <item x="183"/>
        <item x="275"/>
        <item x="43"/>
        <item x="278"/>
        <item x="83"/>
        <item x="156"/>
        <item x="117"/>
        <item x="288"/>
        <item x="15"/>
        <item x="107"/>
        <item x="267"/>
        <item x="4"/>
        <item x="145"/>
        <item x="37"/>
        <item x="264"/>
        <item x="164"/>
        <item x="236"/>
        <item x="251"/>
        <item x="266"/>
        <item x="106"/>
        <item x="101"/>
        <item x="223"/>
        <item x="100"/>
        <item x="113"/>
        <item x="174"/>
        <item x="194"/>
        <item x="128"/>
        <item x="248"/>
        <item x="230"/>
        <item x="197"/>
        <item x="263"/>
        <item x="33"/>
        <item x="8"/>
        <item x="246"/>
        <item x="173"/>
        <item x="170"/>
        <item x="89"/>
        <item x="163"/>
        <item x="120"/>
        <item x="243"/>
        <item x="199"/>
        <item x="168"/>
        <item x="6"/>
        <item x="87"/>
        <item x="205"/>
        <item x="14"/>
        <item x="7"/>
        <item x="240"/>
        <item x="22"/>
        <item x="111"/>
        <item x="277"/>
        <item x="105"/>
        <item x="1"/>
        <item x="70"/>
        <item x="142"/>
        <item x="238"/>
        <item x="121"/>
        <item x="96"/>
        <item x="82"/>
        <item x="259"/>
        <item x="260"/>
        <item x="232"/>
        <item x="129"/>
        <item x="269"/>
        <item x="9"/>
        <item x="13"/>
        <item x="201"/>
        <item x="272"/>
        <item x="185"/>
        <item x="180"/>
        <item x="144"/>
        <item x="290"/>
        <item x="234"/>
        <item x="253"/>
        <item x="188"/>
        <item x="118"/>
        <item x="110"/>
        <item x="16"/>
        <item x="98"/>
        <item x="214"/>
        <item x="292"/>
        <item x="157"/>
        <item x="61"/>
        <item x="270"/>
        <item x="34"/>
        <item x="179"/>
        <item x="114"/>
        <item x="262"/>
        <item x="261"/>
        <item x="210"/>
        <item x="103"/>
        <item x="237"/>
        <item x="283"/>
        <item x="155"/>
        <item x="218"/>
        <item x="176"/>
        <item x="64"/>
        <item x="231"/>
        <item x="286"/>
        <item x="94"/>
        <item x="38"/>
        <item x="235"/>
        <item x="161"/>
        <item x="151"/>
        <item x="280"/>
        <item x="191"/>
        <item x="222"/>
        <item x="146"/>
        <item x="221"/>
        <item x="104"/>
        <item x="19"/>
        <item x="125"/>
        <item x="254"/>
        <item x="187"/>
        <item x="208"/>
        <item x="59"/>
        <item x="271"/>
        <item x="138"/>
        <item x="158"/>
        <item x="265"/>
        <item t="default"/>
      </items>
    </pivotField>
    <pivotField dataField="1" showAll="0">
      <items count="260">
        <item x="31"/>
        <item x="227"/>
        <item x="255"/>
        <item x="34"/>
        <item x="107"/>
        <item x="212"/>
        <item x="79"/>
        <item x="165"/>
        <item x="251"/>
        <item x="101"/>
        <item x="29"/>
        <item x="156"/>
        <item x="86"/>
        <item x="100"/>
        <item x="174"/>
        <item x="142"/>
        <item x="70"/>
        <item x="173"/>
        <item x="137"/>
        <item x="234"/>
        <item x="223"/>
        <item x="132"/>
        <item x="60"/>
        <item x="80"/>
        <item x="33"/>
        <item x="244"/>
        <item x="98"/>
        <item x="130"/>
        <item x="111"/>
        <item x="2"/>
        <item x="43"/>
        <item x="202"/>
        <item x="127"/>
        <item x="75"/>
        <item x="28"/>
        <item x="53"/>
        <item x="190"/>
        <item x="37"/>
        <item x="235"/>
        <item x="66"/>
        <item x="48"/>
        <item x="171"/>
        <item x="74"/>
        <item x="77"/>
        <item x="252"/>
        <item x="164"/>
        <item x="207"/>
        <item x="39"/>
        <item x="30"/>
        <item x="131"/>
        <item x="150"/>
        <item x="232"/>
        <item x="206"/>
        <item x="121"/>
        <item x="64"/>
        <item x="148"/>
        <item x="44"/>
        <item x="0"/>
        <item x="112"/>
        <item x="21"/>
        <item x="217"/>
        <item x="215"/>
        <item x="26"/>
        <item x="144"/>
        <item x="72"/>
        <item x="6"/>
        <item x="193"/>
        <item x="151"/>
        <item x="146"/>
        <item x="24"/>
        <item x="178"/>
        <item x="105"/>
        <item x="61"/>
        <item x="238"/>
        <item x="109"/>
        <item x="230"/>
        <item x="236"/>
        <item x="62"/>
        <item x="87"/>
        <item x="186"/>
        <item x="128"/>
        <item x="7"/>
        <item x="57"/>
        <item x="210"/>
        <item x="222"/>
        <item x="160"/>
        <item x="134"/>
        <item x="203"/>
        <item x="35"/>
        <item x="12"/>
        <item x="46"/>
        <item x="253"/>
        <item x="187"/>
        <item x="246"/>
        <item x="92"/>
        <item x="84"/>
        <item x="157"/>
        <item x="181"/>
        <item x="76"/>
        <item x="205"/>
        <item x="50"/>
        <item x="191"/>
        <item x="248"/>
        <item x="169"/>
        <item x="256"/>
        <item x="135"/>
        <item x="3"/>
        <item x="94"/>
        <item x="184"/>
        <item x="154"/>
        <item x="208"/>
        <item x="15"/>
        <item x="17"/>
        <item x="185"/>
        <item x="1"/>
        <item x="89"/>
        <item x="32"/>
        <item x="149"/>
        <item x="25"/>
        <item x="237"/>
        <item x="245"/>
        <item x="71"/>
        <item x="123"/>
        <item x="124"/>
        <item x="162"/>
        <item x="113"/>
        <item x="199"/>
        <item x="138"/>
        <item x="180"/>
        <item x="211"/>
        <item x="139"/>
        <item x="200"/>
        <item x="81"/>
        <item x="192"/>
        <item x="19"/>
        <item x="239"/>
        <item x="54"/>
        <item x="63"/>
        <item x="49"/>
        <item x="16"/>
        <item x="226"/>
        <item x="257"/>
        <item x="18"/>
        <item x="177"/>
        <item x="95"/>
        <item x="126"/>
        <item x="176"/>
        <item x="55"/>
        <item x="175"/>
        <item x="22"/>
        <item x="97"/>
        <item x="47"/>
        <item x="143"/>
        <item x="163"/>
        <item x="13"/>
        <item x="93"/>
        <item x="153"/>
        <item x="65"/>
        <item x="83"/>
        <item x="172"/>
        <item x="209"/>
        <item x="225"/>
        <item x="204"/>
        <item x="161"/>
        <item x="14"/>
        <item x="10"/>
        <item x="249"/>
        <item x="182"/>
        <item x="27"/>
        <item x="67"/>
        <item x="196"/>
        <item x="38"/>
        <item x="51"/>
        <item x="20"/>
        <item x="167"/>
        <item x="119"/>
        <item x="122"/>
        <item x="188"/>
        <item x="41"/>
        <item x="168"/>
        <item x="115"/>
        <item x="221"/>
        <item x="11"/>
        <item x="4"/>
        <item x="110"/>
        <item x="231"/>
        <item x="250"/>
        <item x="166"/>
        <item x="228"/>
        <item x="189"/>
        <item x="117"/>
        <item x="241"/>
        <item x="114"/>
        <item x="258"/>
        <item x="183"/>
        <item x="254"/>
        <item x="233"/>
        <item x="197"/>
        <item x="136"/>
        <item x="140"/>
        <item x="45"/>
        <item x="106"/>
        <item x="159"/>
        <item x="23"/>
        <item x="85"/>
        <item x="56"/>
        <item x="96"/>
        <item x="68"/>
        <item x="42"/>
        <item x="170"/>
        <item x="247"/>
        <item x="224"/>
        <item x="8"/>
        <item x="158"/>
        <item x="40"/>
        <item x="102"/>
        <item x="220"/>
        <item x="240"/>
        <item x="242"/>
        <item x="229"/>
        <item x="125"/>
        <item x="243"/>
        <item x="82"/>
        <item x="141"/>
        <item x="133"/>
        <item x="120"/>
        <item x="118"/>
        <item x="104"/>
        <item x="216"/>
        <item x="152"/>
        <item x="108"/>
        <item x="195"/>
        <item x="179"/>
        <item x="129"/>
        <item x="78"/>
        <item x="103"/>
        <item x="201"/>
        <item x="9"/>
        <item x="52"/>
        <item x="218"/>
        <item x="69"/>
        <item x="213"/>
        <item x="36"/>
        <item x="116"/>
        <item x="73"/>
        <item x="5"/>
        <item x="198"/>
        <item x="145"/>
        <item x="219"/>
        <item x="147"/>
        <item x="214"/>
        <item x="91"/>
        <item x="88"/>
        <item x="194"/>
        <item x="90"/>
        <item x="155"/>
        <item x="58"/>
        <item x="99"/>
        <item x="59"/>
        <item t="default"/>
      </items>
    </pivotField>
    <pivotField dataField="1" showAll="0"/>
    <pivotField axis="axisRow" showAll="0">
      <items count="5">
        <item x="3"/>
        <item x="2"/>
        <item x="0"/>
        <item x="1"/>
        <item t="default"/>
      </items>
    </pivotField>
    <pivotField dataField="1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Content Type" fld="4" subtotal="count" baseField="0" baseItem="0"/>
    <dataField name="Average of Shares" fld="1" subtotal="average" baseField="3" baseItem="0"/>
    <dataField name="Average of Comments" fld="2" subtotal="average" baseField="3" baseItem="0"/>
    <dataField name="Average of Likes" fld="0" subtotal="average" baseField="3" baseItem="0"/>
  </dataFields>
  <formats count="1">
    <format dxfId="34">
      <pivotArea dataOnly="0" fieldPosition="0">
        <references count="1">
          <reference field="3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91EAC2-0B92-40AF-9D53-3134BCA14A77}" name="PivotTable4" cacheId="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K24:N62" firstHeaderRow="0" firstDataRow="1" firstDataCol="1"/>
  <pivotFields count="6">
    <pivotField axis="axisRow" showAll="0">
      <items count="4">
        <item x="0"/>
        <item x="1"/>
        <item x="2"/>
        <item t="default"/>
      </items>
    </pivotField>
    <pivotField axis="axisRow" showAll="0">
      <items count="7">
        <item x="0"/>
        <item x="1"/>
        <item x="3"/>
        <item x="4"/>
        <item x="5"/>
        <item x="2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dataField="1" showAll="0"/>
    <pivotField dataField="1" showAll="0"/>
    <pivotField dataField="1" showAll="0"/>
  </pivotFields>
  <rowFields count="3">
    <field x="0"/>
    <field x="1"/>
    <field x="2"/>
  </rowFields>
  <rowItems count="38">
    <i>
      <x/>
    </i>
    <i r="1">
      <x/>
    </i>
    <i r="2">
      <x v="2"/>
    </i>
    <i r="2">
      <x v="3"/>
    </i>
    <i r="1">
      <x v="2"/>
    </i>
    <i r="2">
      <x/>
    </i>
    <i r="1">
      <x v="3"/>
    </i>
    <i r="2">
      <x v="3"/>
    </i>
    <i r="1">
      <x v="4"/>
    </i>
    <i r="2">
      <x v="1"/>
    </i>
    <i r="1">
      <x v="5"/>
    </i>
    <i r="2">
      <x v="3"/>
    </i>
    <i>
      <x v="1"/>
    </i>
    <i r="1">
      <x/>
    </i>
    <i r="2">
      <x v="3"/>
    </i>
    <i r="1">
      <x v="1"/>
    </i>
    <i r="2">
      <x v="3"/>
    </i>
    <i r="1">
      <x v="3"/>
    </i>
    <i r="2">
      <x v="3"/>
    </i>
    <i r="1">
      <x v="4"/>
    </i>
    <i r="2">
      <x v="1"/>
    </i>
    <i r="1">
      <x v="5"/>
    </i>
    <i r="2">
      <x v="3"/>
    </i>
    <i>
      <x v="2"/>
    </i>
    <i r="1">
      <x/>
    </i>
    <i r="2">
      <x v="3"/>
    </i>
    <i r="1">
      <x v="1"/>
    </i>
    <i r="2">
      <x v="3"/>
    </i>
    <i r="1">
      <x v="2"/>
    </i>
    <i r="2">
      <x/>
    </i>
    <i r="2">
      <x v="3"/>
    </i>
    <i r="1">
      <x v="3"/>
    </i>
    <i r="2">
      <x v="3"/>
    </i>
    <i r="1">
      <x v="4"/>
    </i>
    <i r="2">
      <x v="1"/>
    </i>
    <i r="1">
      <x v="5"/>
    </i>
    <i r="2"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Likes" fld="3" subtotal="average" baseField="0" baseItem="0"/>
    <dataField name="Average of Comments" fld="5" subtotal="average" baseField="0" baseItem="0"/>
    <dataField name="Average of Shares" fld="4" subtotal="average" baseField="0" baseItem="0"/>
  </dataFields>
  <formats count="3">
    <format dxfId="37">
      <pivotArea type="all" dataOnly="0" outline="0" fieldPosition="0"/>
    </format>
    <format dxfId="36">
      <pivotArea field="0" type="button" dataOnly="0" labelOnly="1" outline="0" axis="axisRow" fieldPosition="0"/>
    </format>
    <format dxfId="3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DAC95E-FAE9-4AC9-925D-53061B9063BA}" name="PivotTable8" cacheId="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F18:I23" firstHeaderRow="0" firstDataRow="1" firstDataCol="1"/>
  <pivotFields count="4">
    <pivotField axis="axisRow" showAll="0">
      <items count="6">
        <item x="3"/>
        <item x="1"/>
        <item x="2"/>
        <item x="0"/>
        <item h="1" x="4"/>
        <item t="default"/>
      </items>
    </pivotField>
    <pivotField dataField="1" showAll="0"/>
    <pivotField dataField="1"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Likes" fld="1" subtotal="average" baseField="0" baseItem="0"/>
    <dataField name="Average of Impressions" fld="2" subtotal="average" baseField="0" baseItem="0"/>
    <dataField name="Average of Clicks" fld="3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A7D40F-F148-482E-BED7-1AB96E5561F6}" name="PivotTable7" cacheId="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F7:I12" firstHeaderRow="0" firstDataRow="1" firstDataCol="1"/>
  <pivotFields count="4">
    <pivotField axis="axisRow" showAll="0">
      <items count="6">
        <item x="3"/>
        <item x="1"/>
        <item x="2"/>
        <item x="0"/>
        <item h="1" x="4"/>
        <item t="default"/>
      </items>
    </pivotField>
    <pivotField dataField="1" showAll="0"/>
    <pivotField dataField="1" showAll="0">
      <items count="298">
        <item x="218"/>
        <item x="261"/>
        <item x="61"/>
        <item x="57"/>
        <item x="142"/>
        <item x="177"/>
        <item x="230"/>
        <item x="174"/>
        <item x="65"/>
        <item x="30"/>
        <item x="209"/>
        <item x="256"/>
        <item x="69"/>
        <item x="52"/>
        <item x="212"/>
        <item x="222"/>
        <item x="246"/>
        <item x="104"/>
        <item x="137"/>
        <item x="225"/>
        <item x="182"/>
        <item x="120"/>
        <item x="123"/>
        <item x="71"/>
        <item x="87"/>
        <item x="101"/>
        <item x="244"/>
        <item x="152"/>
        <item x="153"/>
        <item x="27"/>
        <item x="283"/>
        <item x="217"/>
        <item x="180"/>
        <item x="40"/>
        <item x="119"/>
        <item x="92"/>
        <item x="224"/>
        <item x="76"/>
        <item x="45"/>
        <item x="272"/>
        <item x="197"/>
        <item x="259"/>
        <item x="280"/>
        <item x="82"/>
        <item x="118"/>
        <item x="51"/>
        <item x="293"/>
        <item x="203"/>
        <item x="262"/>
        <item x="59"/>
        <item x="165"/>
        <item x="194"/>
        <item x="288"/>
        <item x="41"/>
        <item x="234"/>
        <item x="158"/>
        <item x="28"/>
        <item x="86"/>
        <item x="260"/>
        <item x="42"/>
        <item x="31"/>
        <item x="191"/>
        <item x="205"/>
        <item x="200"/>
        <item x="81"/>
        <item x="54"/>
        <item x="247"/>
        <item x="216"/>
        <item x="136"/>
        <item x="88"/>
        <item x="291"/>
        <item x="67"/>
        <item x="75"/>
        <item x="172"/>
        <item x="18"/>
        <item x="73"/>
        <item x="249"/>
        <item x="238"/>
        <item x="32"/>
        <item x="128"/>
        <item x="271"/>
        <item x="111"/>
        <item x="170"/>
        <item x="139"/>
        <item x="145"/>
        <item x="93"/>
        <item x="53"/>
        <item x="140"/>
        <item x="77"/>
        <item x="3"/>
        <item x="278"/>
        <item x="159"/>
        <item x="95"/>
        <item x="195"/>
        <item x="80"/>
        <item x="282"/>
        <item x="64"/>
        <item x="116"/>
        <item x="237"/>
        <item x="273"/>
        <item x="131"/>
        <item x="229"/>
        <item x="251"/>
        <item x="255"/>
        <item x="46"/>
        <item x="74"/>
        <item x="122"/>
        <item x="0"/>
        <item x="135"/>
        <item x="49"/>
        <item x="12"/>
        <item x="162"/>
        <item x="164"/>
        <item x="266"/>
        <item x="154"/>
        <item x="157"/>
        <item x="295"/>
        <item x="242"/>
        <item x="11"/>
        <item x="5"/>
        <item x="232"/>
        <item x="36"/>
        <item x="99"/>
        <item x="147"/>
        <item x="84"/>
        <item x="10"/>
        <item x="21"/>
        <item x="97"/>
        <item x="90"/>
        <item x="220"/>
        <item x="108"/>
        <item x="68"/>
        <item x="115"/>
        <item x="146"/>
        <item x="127"/>
        <item x="186"/>
        <item x="48"/>
        <item x="37"/>
        <item x="290"/>
        <item x="240"/>
        <item x="151"/>
        <item x="289"/>
        <item x="55"/>
        <item x="33"/>
        <item x="201"/>
        <item x="214"/>
        <item x="239"/>
        <item x="58"/>
        <item x="70"/>
        <item x="173"/>
        <item x="219"/>
        <item x="22"/>
        <item x="183"/>
        <item x="103"/>
        <item x="138"/>
        <item x="26"/>
        <item x="13"/>
        <item x="34"/>
        <item x="148"/>
        <item x="206"/>
        <item x="168"/>
        <item x="124"/>
        <item x="83"/>
        <item x="198"/>
        <item x="233"/>
        <item x="43"/>
        <item x="150"/>
        <item x="245"/>
        <item x="286"/>
        <item x="17"/>
        <item x="281"/>
        <item x="47"/>
        <item x="132"/>
        <item x="50"/>
        <item x="144"/>
        <item x="252"/>
        <item x="39"/>
        <item x="91"/>
        <item x="231"/>
        <item x="129"/>
        <item x="210"/>
        <item x="109"/>
        <item x="189"/>
        <item x="141"/>
        <item x="163"/>
        <item x="268"/>
        <item x="78"/>
        <item x="79"/>
        <item x="113"/>
        <item x="269"/>
        <item x="102"/>
        <item x="253"/>
        <item x="110"/>
        <item x="187"/>
        <item x="243"/>
        <item x="25"/>
        <item x="114"/>
        <item x="63"/>
        <item x="227"/>
        <item x="7"/>
        <item x="176"/>
        <item x="167"/>
        <item x="130"/>
        <item x="155"/>
        <item x="60"/>
        <item x="285"/>
        <item x="112"/>
        <item x="207"/>
        <item x="208"/>
        <item x="56"/>
        <item x="125"/>
        <item x="211"/>
        <item x="204"/>
        <item x="156"/>
        <item x="161"/>
        <item x="179"/>
        <item x="254"/>
        <item x="274"/>
        <item x="184"/>
        <item x="263"/>
        <item x="241"/>
        <item x="44"/>
        <item x="228"/>
        <item x="160"/>
        <item x="181"/>
        <item x="171"/>
        <item x="107"/>
        <item x="270"/>
        <item x="250"/>
        <item x="2"/>
        <item x="16"/>
        <item x="192"/>
        <item x="121"/>
        <item x="15"/>
        <item x="190"/>
        <item x="29"/>
        <item x="185"/>
        <item x="133"/>
        <item x="8"/>
        <item x="277"/>
        <item x="166"/>
        <item x="94"/>
        <item x="85"/>
        <item x="292"/>
        <item x="24"/>
        <item x="265"/>
        <item x="221"/>
        <item x="267"/>
        <item x="188"/>
        <item x="38"/>
        <item x="257"/>
        <item x="193"/>
        <item x="96"/>
        <item x="6"/>
        <item x="296"/>
        <item x="279"/>
        <item x="276"/>
        <item x="178"/>
        <item x="1"/>
        <item x="126"/>
        <item x="98"/>
        <item x="264"/>
        <item x="23"/>
        <item x="35"/>
        <item x="169"/>
        <item x="117"/>
        <item x="248"/>
        <item x="105"/>
        <item x="89"/>
        <item x="287"/>
        <item x="199"/>
        <item x="4"/>
        <item x="235"/>
        <item x="202"/>
        <item x="9"/>
        <item x="226"/>
        <item x="20"/>
        <item x="258"/>
        <item x="236"/>
        <item x="100"/>
        <item x="134"/>
        <item x="175"/>
        <item x="19"/>
        <item x="14"/>
        <item x="72"/>
        <item x="213"/>
        <item x="66"/>
        <item x="149"/>
        <item x="284"/>
        <item x="294"/>
        <item x="196"/>
        <item x="223"/>
        <item x="62"/>
        <item x="106"/>
        <item x="215"/>
        <item x="143"/>
        <item x="275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Impressions" fld="2" baseField="0" baseItem="0"/>
    <dataField name="Sum of Likes" fld="1" baseField="0" baseItem="0"/>
    <dataField name="Sum of Click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640C25-1149-49F8-9964-15752CAE4275}" name="PivotTable9" cacheId="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I8:J13" firstHeaderRow="1" firstDataRow="1" firstDataCol="1"/>
  <pivotFields count="7">
    <pivotField axis="axisRow" showAll="0">
      <items count="6">
        <item x="3"/>
        <item x="1"/>
        <item x="2"/>
        <item x="0"/>
        <item h="1" x="4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OI" fld="6" baseField="0" baseItem="0"/>
  </dataFields>
  <formats count="1">
    <format dxfId="2">
      <pivotArea dataOnly="0" fieldPosition="0">
        <references count="1">
          <reference field="0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044A8A-E3F8-4AF7-BC63-E2E4F23F5E70}" name="PivotTable14" cacheId="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H8:I13" firstHeaderRow="1" firstDataRow="1" firstDataCol="1"/>
  <pivotFields count="6">
    <pivotField axis="axisRow" showAll="0" sortType="descending">
      <items count="6">
        <item x="3"/>
        <item x="1"/>
        <item x="2"/>
        <item x="0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Net Follower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A4E82B-FC04-44F8-8D8A-83A82575DF0C}" name="PivotTable15" cacheId="1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0">
  <location ref="H9:I14" firstHeaderRow="1" firstDataRow="1" firstDataCol="1"/>
  <pivotFields count="2">
    <pivotField dataField="1" showAll="0"/>
    <pivotField axis="axisRow" showAll="0">
      <items count="5">
        <item x="1"/>
        <item x="0"/>
        <item x="2"/>
        <item x="3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Net Followers" fld="0" baseField="0" baseItem="0"/>
  </dataFields>
  <chartFormats count="2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0932EC-BC81-4442-946E-9D222EA25C2D}" name="PivotTable16" cacheId="1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H24:I154" firstHeaderRow="1" firstDataRow="1" firstDataCol="1"/>
  <pivotFields count="4">
    <pivotField axis="axisRow" showAll="0">
      <items count="130">
        <item x="81"/>
        <item x="116"/>
        <item x="78"/>
        <item x="47"/>
        <item x="90"/>
        <item x="49"/>
        <item x="92"/>
        <item x="117"/>
        <item x="52"/>
        <item x="94"/>
        <item x="56"/>
        <item x="18"/>
        <item x="6"/>
        <item x="4"/>
        <item x="87"/>
        <item x="48"/>
        <item x="79"/>
        <item x="112"/>
        <item x="7"/>
        <item x="114"/>
        <item x="11"/>
        <item x="123"/>
        <item x="74"/>
        <item x="62"/>
        <item x="97"/>
        <item x="31"/>
        <item x="70"/>
        <item x="96"/>
        <item x="124"/>
        <item x="3"/>
        <item x="86"/>
        <item x="60"/>
        <item x="17"/>
        <item x="32"/>
        <item x="118"/>
        <item x="125"/>
        <item x="15"/>
        <item x="8"/>
        <item x="115"/>
        <item x="66"/>
        <item x="58"/>
        <item x="107"/>
        <item x="19"/>
        <item x="85"/>
        <item x="26"/>
        <item x="89"/>
        <item x="108"/>
        <item x="100"/>
        <item x="99"/>
        <item x="72"/>
        <item x="75"/>
        <item x="68"/>
        <item x="73"/>
        <item x="54"/>
        <item x="122"/>
        <item x="14"/>
        <item x="69"/>
        <item x="113"/>
        <item x="5"/>
        <item x="44"/>
        <item x="104"/>
        <item x="22"/>
        <item x="71"/>
        <item x="84"/>
        <item x="101"/>
        <item x="12"/>
        <item x="59"/>
        <item x="98"/>
        <item x="38"/>
        <item x="111"/>
        <item x="34"/>
        <item x="64"/>
        <item x="76"/>
        <item x="83"/>
        <item x="42"/>
        <item x="30"/>
        <item x="53"/>
        <item x="121"/>
        <item x="0"/>
        <item x="120"/>
        <item x="50"/>
        <item x="20"/>
        <item x="36"/>
        <item x="80"/>
        <item x="23"/>
        <item x="77"/>
        <item x="57"/>
        <item x="28"/>
        <item x="10"/>
        <item x="93"/>
        <item x="109"/>
        <item x="105"/>
        <item x="88"/>
        <item x="13"/>
        <item x="37"/>
        <item x="126"/>
        <item x="46"/>
        <item x="29"/>
        <item x="21"/>
        <item x="43"/>
        <item x="67"/>
        <item x="27"/>
        <item x="41"/>
        <item x="39"/>
        <item x="40"/>
        <item x="9"/>
        <item x="51"/>
        <item x="103"/>
        <item x="91"/>
        <item x="82"/>
        <item x="95"/>
        <item x="33"/>
        <item x="61"/>
        <item x="63"/>
        <item x="127"/>
        <item x="65"/>
        <item x="1"/>
        <item x="25"/>
        <item x="106"/>
        <item x="128"/>
        <item x="24"/>
        <item x="55"/>
        <item x="35"/>
        <item x="119"/>
        <item x="110"/>
        <item x="45"/>
        <item x="16"/>
        <item x="102"/>
        <item x="2"/>
        <item t="default"/>
      </items>
    </pivotField>
    <pivotField showAll="0"/>
    <pivotField dataField="1" showAll="0"/>
    <pivotField showAll="0">
      <items count="5">
        <item x="1"/>
        <item x="0"/>
        <item x="2"/>
        <item x="3"/>
        <item t="default"/>
      </items>
    </pivotField>
  </pivotFields>
  <rowFields count="1">
    <field x="0"/>
  </rowFields>
  <rowItems count="1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 t="grand">
      <x/>
    </i>
  </rowItems>
  <colItems count="1">
    <i/>
  </colItems>
  <dataFields count="1">
    <dataField name="Sum of Net Follower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77EAC4D-46B4-4E8A-BE06-797E1D380201}" name="Table3" displayName="Table3" ref="A3:M303" totalsRowShown="0" headerRowDxfId="62">
  <autoFilter ref="A3:M303" xr:uid="{F77EAC4D-46B4-4E8A-BE06-797E1D380201}"/>
  <tableColumns count="13">
    <tableColumn id="1" xr3:uid="{1B2677AC-64BD-424E-8EB2-3EE64F4EA5AF}" name="Likes" dataDxfId="61"/>
    <tableColumn id="2" xr3:uid="{D16D31A3-6E6D-4697-BF1C-9A648D72B647}" name="Shares" dataDxfId="60"/>
    <tableColumn id="3" xr3:uid="{47FD2FF9-9C4F-4ECE-84F9-A7415115218F}" name="Comments" dataDxfId="59"/>
    <tableColumn id="4" xr3:uid="{8CBF5D63-53B2-4845-9717-5F1AB3E4A017}" name="Impressions" dataDxfId="58"/>
    <tableColumn id="5" xr3:uid="{7595D725-A7F8-4FA4-BAFB-757D8F473EDF}" name="Content Type" dataDxfId="57"/>
    <tableColumn id="6" xr3:uid="{5863F8F7-A462-41C5-84D7-95CDE652D1F5}" name="Platform" dataDxfId="56"/>
    <tableColumn id="7" xr3:uid="{EBD03FD0-66C5-489E-9E63-9EA612451BFB}" name="Clicks" dataDxfId="55"/>
    <tableColumn id="8" xr3:uid="{0AA41C73-70A0-4FDF-A38A-70E6E877FFA1}" name="Hashtags Used" dataDxfId="54"/>
    <tableColumn id="9" xr3:uid="{B1B4FB8F-9D6E-4F0A-BEDE-490752320E3D}" name="Hashtags 1"/>
    <tableColumn id="10" xr3:uid="{D0EDC7CB-EAF5-4CA3-9513-50D0D1557085}" name="Hashtags 2"/>
    <tableColumn id="11" xr3:uid="{8D2B5842-1728-4E2E-8C84-E888CDA726B8}" name="Sum">
      <calculatedColumnFormula>SUM(A4+B4+C4)</calculatedColumnFormula>
    </tableColumn>
    <tableColumn id="12" xr3:uid="{88B3E760-D52C-4086-AAB2-C54C105D0789}" name="Engagement Rate">
      <calculatedColumnFormula>AVERAGE(K4/D4)</calculatedColumnFormula>
    </tableColumn>
    <tableColumn id="13" xr3:uid="{0F46A34B-B648-4F4D-9086-6A7E236BE896}" name="Top 10 Rate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BC343CD-2CAD-46B4-897C-DFEFC4FA8F63}" name="Table4" displayName="Table4" ref="A3:J203" totalsRowShown="0" headerRowDxfId="51" dataDxfId="49" headerRowBorderDxfId="50" tableBorderDxfId="48">
  <autoFilter ref="A3:J203" xr:uid="{DD88A69B-9388-4856-A2DB-54DA3BA1BEE7}"/>
  <tableColumns count="10">
    <tableColumn id="1" xr3:uid="{A30207D6-EA75-48C6-BAE7-189B3FB909FA}" name="Platform" dataDxfId="47"/>
    <tableColumn id="2" xr3:uid="{AC69CB44-E783-4ADF-9EAB-D335BC960D72}" name="Likes" dataDxfId="46"/>
    <tableColumn id="3" xr3:uid="{A010B6A1-C380-4C6F-B2AE-C3B671246EC6}" name="Shares" dataDxfId="45"/>
    <tableColumn id="4" xr3:uid="{A67F332F-F428-4687-82F4-66F63C82391A}" name="Comments" dataDxfId="44"/>
    <tableColumn id="5" xr3:uid="{7AAC77A8-733C-4215-97AF-629A6EB551A5}" name="Impressions" dataDxfId="43"/>
    <tableColumn id="6" xr3:uid="{D2F7271C-2F33-4CF0-A539-E11033FC6138}" name="Reach" dataDxfId="42"/>
    <tableColumn id="7" xr3:uid="{20C98F18-F95C-487A-AFB9-8B7EE47DD16C}" name="Clicks" dataDxfId="41"/>
    <tableColumn id="8" xr3:uid="{FB4DDE22-C13F-4BA3-B2A1-CFFFC634B385}" name="New_Followers" dataDxfId="40"/>
    <tableColumn id="9" xr3:uid="{3EA80E47-1667-4147-961A-2F065C068DB0}" name="Unfollows" dataDxfId="39"/>
    <tableColumn id="10" xr3:uid="{99F45EB7-B9A1-4B68-B6EE-3541B0A7B1FF}" name="Engagement_Rate" dataDxfId="38"/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7613502-1AD9-484E-847B-8D60FA52A899}" name="Table5" displayName="Table5" ref="A3:I303" totalsRowShown="0" headerRowDxfId="25" dataDxfId="23" headerRowBorderDxfId="24" tableBorderDxfId="22">
  <autoFilter ref="A3:I303" xr:uid="{47613502-1AD9-484E-847B-8D60FA52A899}"/>
  <tableColumns count="9">
    <tableColumn id="1" xr3:uid="{6BA7C123-8B7F-44E6-BED5-B057ADE55832}" name="Hashtags Used" dataDxfId="21"/>
    <tableColumn id="2" xr3:uid="{AECB5350-7250-43B1-B7A3-0163DAE2BC44}" name="Hashtags Used 2"/>
    <tableColumn id="3" xr3:uid="{2F21FDE1-DE2E-4926-A4EC-54940B487E30}" name="Hashtags Used 3"/>
    <tableColumn id="4" xr3:uid="{B3B0C875-A782-449E-97BB-B6EA3B922894}" name="Likes" dataDxfId="20"/>
    <tableColumn id="5" xr3:uid="{E2A54D7E-3A51-4FF0-A181-58E0AEA4A1D9}" name="Shares" dataDxfId="19"/>
    <tableColumn id="6" xr3:uid="{DA6230B5-53EC-46B4-95B4-16CC869F1734}" name="Comments" dataDxfId="18"/>
    <tableColumn id="7" xr3:uid="{CBD697E2-2F7D-4823-830F-5E8674E2A8F0}" name="Platform" dataDxfId="17"/>
    <tableColumn id="8" xr3:uid="{2519E810-0991-4882-BD7C-0D0CB383FF0B}" name="Content Type" dataDxfId="16"/>
    <tableColumn id="9" xr3:uid="{8821D854-764E-4002-86C0-9CA664845D63}" name="Reach" dataDxfId="15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51217C-9E9F-41E1-8CC1-02104D99DD97}" name="Table1" displayName="Table1" ref="A3:D303" totalsRowShown="0" dataDxfId="13" headerRowBorderDxfId="14" tableBorderDxfId="12">
  <autoFilter ref="A3:D303" xr:uid="{DC51217C-9E9F-41E1-8CC1-02104D99DD97}"/>
  <tableColumns count="4">
    <tableColumn id="1" xr3:uid="{78B02A62-6693-4A2D-9A85-627E215EB1A1}" name="Campaign_Name" dataDxfId="11"/>
    <tableColumn id="2" xr3:uid="{F4E03DEC-353A-4449-97C1-EE4A32A8B1C9}" name="Likes" dataDxfId="10"/>
    <tableColumn id="3" xr3:uid="{BFE37561-8ED4-40A8-8527-7F4679AFE52B}" name="Impressions" dataDxfId="9"/>
    <tableColumn id="4" xr3:uid="{CF21413F-F556-40D2-BBFD-51C29A0B09E3}" name="Clicks" dataDxfId="8"/>
  </tableColumns>
  <tableStyleInfo name="TableStyleMedium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8BCA598-570B-4F5C-9F5B-0F966AF8E22F}" name="Table6" displayName="Table6" ref="A6:H306" totalsRowShown="0">
  <autoFilter ref="A6:H306" xr:uid="{78BCA598-570B-4F5C-9F5B-0F966AF8E22F}"/>
  <tableColumns count="8">
    <tableColumn id="1" xr3:uid="{2C6C96EE-A169-4BD3-A0F2-4AF0A2D92464}" name="Week_Start_Date"/>
    <tableColumn id="2" xr3:uid="{68DB990F-93CD-43BE-8A06-E27720A868C0}" name="Date" dataDxfId="7"/>
    <tableColumn id="3" xr3:uid="{26584B67-C708-43FF-9C17-3010FD944859}" name="Campaign_Name" dataDxfId="6"/>
    <tableColumn id="4" xr3:uid="{DE50CEDD-5E2F-46A5-AA16-CF90B3CEFB2D}" name="Engagement_Rate"/>
    <tableColumn id="5" xr3:uid="{5035EE38-3FE8-4CED-B7D5-149730691522}" name="Likes" dataDxfId="5"/>
    <tableColumn id="6" xr3:uid="{6DFF6EA7-49CD-4B27-8CE4-D7EB9980CEC5}" name="Impressions" dataDxfId="4"/>
    <tableColumn id="7" xr3:uid="{1CA3BBDC-B24A-45DA-941D-6D40FE8192C6}" name="Clicks" dataDxfId="3"/>
    <tableColumn id="8" xr3:uid="{4D1700FB-38C0-4682-AB4D-150D9BC3120E}" name="Period">
      <calculatedColumnFormula>IF(B7&lt;A7,"Before","During")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oom.com/share/be1b2bbc8d824190b07eb0b54c2dc63e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5" Type="http://schemas.openxmlformats.org/officeDocument/2006/relationships/table" Target="../tables/table3.xml"/><Relationship Id="rId4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E74FA-BA3F-40D4-87C0-CD8DCEAD507D}">
  <dimension ref="A1:P304"/>
  <sheetViews>
    <sheetView tabSelected="1" topLeftCell="D1" workbookViewId="0">
      <selection activeCell="M17" sqref="M17"/>
    </sheetView>
  </sheetViews>
  <sheetFormatPr defaultRowHeight="14.4" x14ac:dyDescent="0.3"/>
  <cols>
    <col min="1" max="1" width="10.44140625" customWidth="1"/>
    <col min="2" max="2" width="11.6640625" customWidth="1"/>
    <col min="3" max="4" width="10.44140625" customWidth="1"/>
    <col min="5" max="5" width="11.5546875" customWidth="1"/>
    <col min="6" max="7" width="11.21875" customWidth="1"/>
    <col min="8" max="8" width="22.77734375" customWidth="1"/>
    <col min="9" max="9" width="17.6640625" customWidth="1"/>
    <col min="10" max="10" width="18.21875" customWidth="1"/>
  </cols>
  <sheetData>
    <row r="1" spans="1:15" ht="18" x14ac:dyDescent="0.35">
      <c r="E1" s="1" t="s">
        <v>522</v>
      </c>
    </row>
    <row r="4" spans="1:15" ht="21" customHeight="1" x14ac:dyDescent="0.3">
      <c r="A4" s="43" t="s">
        <v>0</v>
      </c>
      <c r="B4" s="44" t="s">
        <v>301</v>
      </c>
      <c r="C4" s="43" t="s">
        <v>302</v>
      </c>
      <c r="D4" s="43" t="s">
        <v>304</v>
      </c>
      <c r="E4" s="43" t="s">
        <v>308</v>
      </c>
      <c r="F4" s="44" t="s">
        <v>307</v>
      </c>
      <c r="G4" s="44" t="s">
        <v>531</v>
      </c>
      <c r="H4" s="43" t="s">
        <v>310</v>
      </c>
      <c r="I4" s="43" t="s">
        <v>595</v>
      </c>
      <c r="J4" s="45" t="s">
        <v>596</v>
      </c>
    </row>
    <row r="5" spans="1:15" x14ac:dyDescent="0.3">
      <c r="A5" s="46" t="s">
        <v>1</v>
      </c>
      <c r="B5" s="47" t="s">
        <v>311</v>
      </c>
      <c r="C5" s="47" t="s">
        <v>312</v>
      </c>
      <c r="D5" s="47">
        <v>1461</v>
      </c>
      <c r="E5" s="47">
        <v>21675</v>
      </c>
      <c r="F5" s="47">
        <v>21915</v>
      </c>
      <c r="G5" s="48">
        <v>5904</v>
      </c>
      <c r="H5" s="49" t="s">
        <v>333</v>
      </c>
      <c r="I5" s="47" t="s">
        <v>523</v>
      </c>
      <c r="J5" s="50"/>
    </row>
    <row r="6" spans="1:15" x14ac:dyDescent="0.3">
      <c r="A6" s="51" t="s">
        <v>2</v>
      </c>
      <c r="B6" s="52" t="s">
        <v>311</v>
      </c>
      <c r="C6" s="52" t="s">
        <v>314</v>
      </c>
      <c r="D6" s="52">
        <v>4054</v>
      </c>
      <c r="E6" s="52">
        <v>64383</v>
      </c>
      <c r="F6" s="52">
        <v>64864</v>
      </c>
      <c r="G6" s="53">
        <v>9566</v>
      </c>
      <c r="H6" s="54" t="s">
        <v>318</v>
      </c>
      <c r="I6" s="52" t="s">
        <v>524</v>
      </c>
      <c r="J6" s="55"/>
    </row>
    <row r="7" spans="1:15" x14ac:dyDescent="0.3">
      <c r="A7" s="56" t="s">
        <v>3</v>
      </c>
      <c r="B7" s="57" t="s">
        <v>316</v>
      </c>
      <c r="C7" s="57" t="s">
        <v>317</v>
      </c>
      <c r="D7" s="57">
        <v>2795</v>
      </c>
      <c r="E7" s="57">
        <v>52307</v>
      </c>
      <c r="F7" s="57">
        <v>53105</v>
      </c>
      <c r="G7" s="58">
        <v>26752</v>
      </c>
      <c r="H7" s="59" t="s">
        <v>318</v>
      </c>
      <c r="I7" s="57"/>
      <c r="J7" s="60"/>
    </row>
    <row r="8" spans="1:15" x14ac:dyDescent="0.3">
      <c r="A8" s="51" t="s">
        <v>4</v>
      </c>
      <c r="B8" s="52" t="s">
        <v>319</v>
      </c>
      <c r="C8" s="52" t="s">
        <v>320</v>
      </c>
      <c r="D8" s="52">
        <v>2404</v>
      </c>
      <c r="E8" s="52">
        <v>18636</v>
      </c>
      <c r="F8" s="52">
        <v>19232</v>
      </c>
      <c r="G8" s="53">
        <v>30671</v>
      </c>
      <c r="H8" s="54" t="s">
        <v>322</v>
      </c>
      <c r="I8" s="52"/>
      <c r="J8" s="55"/>
      <c r="O8" s="4"/>
    </row>
    <row r="9" spans="1:15" x14ac:dyDescent="0.3">
      <c r="A9" s="56" t="s">
        <v>5</v>
      </c>
      <c r="B9" s="57" t="s">
        <v>316</v>
      </c>
      <c r="C9" s="57" t="s">
        <v>323</v>
      </c>
      <c r="D9" s="57">
        <v>3557</v>
      </c>
      <c r="E9" s="57">
        <v>70701</v>
      </c>
      <c r="F9" s="57">
        <v>71140</v>
      </c>
      <c r="G9" s="58">
        <v>9920</v>
      </c>
      <c r="H9" s="59" t="s">
        <v>322</v>
      </c>
      <c r="I9" s="57" t="s">
        <v>318</v>
      </c>
      <c r="J9" s="60"/>
      <c r="N9" s="63" t="s">
        <v>610</v>
      </c>
    </row>
    <row r="10" spans="1:15" x14ac:dyDescent="0.3">
      <c r="A10" s="51" t="s">
        <v>6</v>
      </c>
      <c r="B10" s="52" t="s">
        <v>324</v>
      </c>
      <c r="C10" s="52" t="s">
        <v>325</v>
      </c>
      <c r="D10" s="52">
        <v>2945</v>
      </c>
      <c r="E10" s="52">
        <v>23275</v>
      </c>
      <c r="F10" s="52">
        <v>23560</v>
      </c>
      <c r="G10" s="53">
        <v>7924</v>
      </c>
      <c r="H10" s="54" t="s">
        <v>318</v>
      </c>
      <c r="I10" s="52"/>
      <c r="J10" s="55"/>
      <c r="O10" s="5"/>
    </row>
    <row r="11" spans="1:15" x14ac:dyDescent="0.3">
      <c r="A11" s="56" t="s">
        <v>7</v>
      </c>
      <c r="B11" s="57" t="s">
        <v>311</v>
      </c>
      <c r="C11" s="57" t="s">
        <v>327</v>
      </c>
      <c r="D11" s="57">
        <v>3860</v>
      </c>
      <c r="E11" s="57">
        <v>61660</v>
      </c>
      <c r="F11" s="57">
        <v>61760</v>
      </c>
      <c r="G11" s="58">
        <v>8912</v>
      </c>
      <c r="H11" s="59" t="s">
        <v>318</v>
      </c>
      <c r="I11" s="57"/>
      <c r="J11" s="60"/>
      <c r="N11" s="66" t="s">
        <v>609</v>
      </c>
      <c r="O11" s="5"/>
    </row>
    <row r="12" spans="1:15" x14ac:dyDescent="0.3">
      <c r="A12" s="51" t="s">
        <v>8</v>
      </c>
      <c r="B12" s="52" t="s">
        <v>316</v>
      </c>
      <c r="C12" s="52" t="s">
        <v>328</v>
      </c>
      <c r="D12" s="52">
        <v>3929</v>
      </c>
      <c r="E12" s="52">
        <v>42841</v>
      </c>
      <c r="F12" s="52">
        <v>43219</v>
      </c>
      <c r="G12" s="53">
        <v>21205</v>
      </c>
      <c r="H12" s="54" t="s">
        <v>322</v>
      </c>
      <c r="I12" s="52"/>
      <c r="J12" s="55"/>
      <c r="O12" s="5"/>
    </row>
    <row r="13" spans="1:15" x14ac:dyDescent="0.3">
      <c r="A13" s="56" t="s">
        <v>9</v>
      </c>
      <c r="B13" s="57" t="s">
        <v>324</v>
      </c>
      <c r="C13" s="57" t="s">
        <v>330</v>
      </c>
      <c r="D13" s="57">
        <v>3784</v>
      </c>
      <c r="E13" s="57">
        <v>56343</v>
      </c>
      <c r="F13" s="57">
        <v>56760</v>
      </c>
      <c r="G13" s="58">
        <v>11329</v>
      </c>
      <c r="H13" s="59" t="s">
        <v>318</v>
      </c>
      <c r="I13" s="57"/>
      <c r="J13" s="60"/>
      <c r="O13" s="5"/>
    </row>
    <row r="14" spans="1:15" x14ac:dyDescent="0.3">
      <c r="A14" s="51" t="s">
        <v>10</v>
      </c>
      <c r="B14" s="52" t="s">
        <v>324</v>
      </c>
      <c r="C14" s="52" t="s">
        <v>331</v>
      </c>
      <c r="D14" s="52">
        <v>4241</v>
      </c>
      <c r="E14" s="52">
        <v>71598</v>
      </c>
      <c r="F14" s="52">
        <v>72097</v>
      </c>
      <c r="G14" s="53">
        <v>46670</v>
      </c>
      <c r="H14" s="54" t="s">
        <v>318</v>
      </c>
      <c r="I14" s="52"/>
      <c r="J14" s="55"/>
      <c r="O14" s="5"/>
    </row>
    <row r="15" spans="1:15" x14ac:dyDescent="0.3">
      <c r="A15" s="56" t="s">
        <v>11</v>
      </c>
      <c r="B15" s="57" t="s">
        <v>319</v>
      </c>
      <c r="C15" s="57" t="s">
        <v>332</v>
      </c>
      <c r="D15" s="57">
        <v>1792</v>
      </c>
      <c r="E15" s="57">
        <v>24675</v>
      </c>
      <c r="F15" s="57">
        <v>25088</v>
      </c>
      <c r="G15" s="58">
        <v>22482</v>
      </c>
      <c r="H15" s="59" t="s">
        <v>333</v>
      </c>
      <c r="I15" s="57"/>
      <c r="J15" s="60"/>
      <c r="O15" s="5"/>
    </row>
    <row r="16" spans="1:15" x14ac:dyDescent="0.3">
      <c r="A16" s="51" t="s">
        <v>12</v>
      </c>
      <c r="B16" s="52" t="s">
        <v>324</v>
      </c>
      <c r="C16" s="52" t="s">
        <v>334</v>
      </c>
      <c r="D16" s="52">
        <v>1946</v>
      </c>
      <c r="E16" s="52">
        <v>22982</v>
      </c>
      <c r="F16" s="52">
        <v>23352</v>
      </c>
      <c r="G16" s="53">
        <v>24313</v>
      </c>
      <c r="H16" s="54" t="s">
        <v>333</v>
      </c>
      <c r="I16" s="52"/>
      <c r="J16" s="55"/>
      <c r="O16" s="5"/>
    </row>
    <row r="17" spans="1:16" x14ac:dyDescent="0.3">
      <c r="A17" s="56" t="s">
        <v>13</v>
      </c>
      <c r="B17" s="57" t="s">
        <v>316</v>
      </c>
      <c r="C17" s="57" t="s">
        <v>335</v>
      </c>
      <c r="D17" s="57">
        <v>1171</v>
      </c>
      <c r="E17" s="57">
        <v>21282</v>
      </c>
      <c r="F17" s="57">
        <v>22249</v>
      </c>
      <c r="G17" s="58">
        <v>18050</v>
      </c>
      <c r="H17" s="59" t="s">
        <v>322</v>
      </c>
      <c r="I17" s="57"/>
      <c r="J17" s="60"/>
      <c r="O17" s="5"/>
    </row>
    <row r="18" spans="1:16" x14ac:dyDescent="0.3">
      <c r="A18" s="51" t="s">
        <v>14</v>
      </c>
      <c r="B18" s="52" t="s">
        <v>324</v>
      </c>
      <c r="C18" s="52" t="s">
        <v>336</v>
      </c>
      <c r="D18" s="52">
        <v>4242</v>
      </c>
      <c r="E18" s="52">
        <v>33802</v>
      </c>
      <c r="F18" s="52">
        <v>33936</v>
      </c>
      <c r="G18" s="53">
        <v>30635</v>
      </c>
      <c r="H18" s="54" t="s">
        <v>333</v>
      </c>
      <c r="I18" s="52"/>
      <c r="J18" s="55"/>
      <c r="O18" s="5"/>
    </row>
    <row r="19" spans="1:16" x14ac:dyDescent="0.3">
      <c r="A19" s="56" t="s">
        <v>15</v>
      </c>
      <c r="B19" s="57" t="s">
        <v>324</v>
      </c>
      <c r="C19" s="57" t="s">
        <v>337</v>
      </c>
      <c r="D19" s="57">
        <v>3888</v>
      </c>
      <c r="E19" s="57">
        <v>77167</v>
      </c>
      <c r="F19" s="57">
        <v>77760</v>
      </c>
      <c r="G19" s="58">
        <v>31280</v>
      </c>
      <c r="H19" s="59" t="s">
        <v>333</v>
      </c>
      <c r="I19" s="57"/>
      <c r="J19" s="60"/>
      <c r="O19" s="5"/>
    </row>
    <row r="20" spans="1:16" x14ac:dyDescent="0.3">
      <c r="A20" s="51" t="s">
        <v>16</v>
      </c>
      <c r="B20" s="52" t="s">
        <v>324</v>
      </c>
      <c r="C20" s="52" t="s">
        <v>339</v>
      </c>
      <c r="D20" s="52">
        <v>3452</v>
      </c>
      <c r="E20" s="52">
        <v>55075</v>
      </c>
      <c r="F20" s="52">
        <v>55232</v>
      </c>
      <c r="G20" s="53">
        <v>1783</v>
      </c>
      <c r="H20" s="54" t="s">
        <v>333</v>
      </c>
      <c r="I20" s="52"/>
      <c r="J20" s="55"/>
      <c r="O20" s="5"/>
    </row>
    <row r="21" spans="1:16" x14ac:dyDescent="0.3">
      <c r="A21" s="56" t="s">
        <v>17</v>
      </c>
      <c r="B21" s="57" t="s">
        <v>324</v>
      </c>
      <c r="C21" s="57" t="s">
        <v>340</v>
      </c>
      <c r="D21" s="57">
        <v>4441</v>
      </c>
      <c r="E21" s="57">
        <v>53082</v>
      </c>
      <c r="F21" s="57">
        <v>53292</v>
      </c>
      <c r="G21" s="58">
        <v>9566</v>
      </c>
      <c r="H21" s="59" t="s">
        <v>322</v>
      </c>
      <c r="I21" s="57"/>
      <c r="J21" s="60"/>
      <c r="O21" s="5"/>
    </row>
    <row r="22" spans="1:16" x14ac:dyDescent="0.3">
      <c r="A22" s="51" t="s">
        <v>18</v>
      </c>
      <c r="B22" s="52" t="s">
        <v>319</v>
      </c>
      <c r="C22" s="52" t="s">
        <v>341</v>
      </c>
      <c r="D22" s="52">
        <v>3000</v>
      </c>
      <c r="E22" s="52">
        <v>35819</v>
      </c>
      <c r="F22" s="52">
        <v>36000</v>
      </c>
      <c r="G22" s="53">
        <v>42307</v>
      </c>
      <c r="H22" s="54" t="s">
        <v>333</v>
      </c>
      <c r="I22" s="52"/>
      <c r="J22" s="55"/>
      <c r="O22" s="5"/>
    </row>
    <row r="23" spans="1:16" x14ac:dyDescent="0.3">
      <c r="A23" s="56" t="s">
        <v>19</v>
      </c>
      <c r="B23" s="57" t="s">
        <v>319</v>
      </c>
      <c r="C23" s="57" t="s">
        <v>342</v>
      </c>
      <c r="D23" s="57">
        <v>1071</v>
      </c>
      <c r="E23" s="57">
        <v>15865</v>
      </c>
      <c r="F23" s="57">
        <v>16065</v>
      </c>
      <c r="G23" s="58">
        <v>5914</v>
      </c>
      <c r="H23" s="59" t="s">
        <v>318</v>
      </c>
      <c r="I23" s="57"/>
      <c r="J23" s="60"/>
      <c r="O23" s="5"/>
    </row>
    <row r="24" spans="1:16" x14ac:dyDescent="0.3">
      <c r="A24" s="51" t="s">
        <v>20</v>
      </c>
      <c r="B24" s="52" t="s">
        <v>319</v>
      </c>
      <c r="C24" s="52" t="s">
        <v>343</v>
      </c>
      <c r="D24" s="52">
        <v>4054</v>
      </c>
      <c r="E24" s="52">
        <v>76881</v>
      </c>
      <c r="F24" s="52">
        <v>77026</v>
      </c>
      <c r="G24" s="53">
        <v>30060</v>
      </c>
      <c r="H24" s="54" t="s">
        <v>318</v>
      </c>
      <c r="I24" s="52"/>
      <c r="J24" s="55"/>
      <c r="O24" s="5"/>
      <c r="P24" s="5"/>
    </row>
    <row r="25" spans="1:16" x14ac:dyDescent="0.3">
      <c r="A25" s="56" t="s">
        <v>21</v>
      </c>
      <c r="B25" s="57" t="s">
        <v>319</v>
      </c>
      <c r="C25" s="57" t="s">
        <v>344</v>
      </c>
      <c r="D25" s="57">
        <v>4838</v>
      </c>
      <c r="E25" s="57">
        <v>72396</v>
      </c>
      <c r="F25" s="57">
        <v>72570</v>
      </c>
      <c r="G25" s="58">
        <v>22728</v>
      </c>
      <c r="H25" s="59" t="s">
        <v>333</v>
      </c>
      <c r="I25" s="57"/>
      <c r="J25" s="60"/>
      <c r="O25" s="5"/>
    </row>
    <row r="26" spans="1:16" x14ac:dyDescent="0.3">
      <c r="A26" s="51" t="s">
        <v>22</v>
      </c>
      <c r="B26" s="52" t="s">
        <v>324</v>
      </c>
      <c r="C26" s="52" t="s">
        <v>345</v>
      </c>
      <c r="D26" s="52">
        <v>1570</v>
      </c>
      <c r="E26" s="52">
        <v>24613</v>
      </c>
      <c r="F26" s="52">
        <v>25120</v>
      </c>
      <c r="G26" s="53">
        <v>38610</v>
      </c>
      <c r="H26" s="54" t="s">
        <v>318</v>
      </c>
      <c r="I26" s="52"/>
      <c r="J26" s="55"/>
      <c r="O26" s="5"/>
    </row>
    <row r="27" spans="1:16" x14ac:dyDescent="0.3">
      <c r="A27" s="56" t="s">
        <v>23</v>
      </c>
      <c r="B27" s="57" t="s">
        <v>324</v>
      </c>
      <c r="C27" s="57" t="s">
        <v>346</v>
      </c>
      <c r="D27" s="57">
        <v>1606</v>
      </c>
      <c r="E27" s="57">
        <v>31736</v>
      </c>
      <c r="F27" s="57">
        <v>32120</v>
      </c>
      <c r="G27" s="58">
        <v>2932</v>
      </c>
      <c r="H27" s="59" t="s">
        <v>318</v>
      </c>
      <c r="I27" s="57" t="s">
        <v>523</v>
      </c>
      <c r="J27" s="60"/>
      <c r="O27" s="5"/>
    </row>
    <row r="28" spans="1:16" x14ac:dyDescent="0.3">
      <c r="A28" s="51" t="s">
        <v>24</v>
      </c>
      <c r="B28" s="52" t="s">
        <v>324</v>
      </c>
      <c r="C28" s="52" t="s">
        <v>347</v>
      </c>
      <c r="D28" s="52">
        <v>3961</v>
      </c>
      <c r="E28" s="52">
        <v>66615</v>
      </c>
      <c r="F28" s="52">
        <v>67337</v>
      </c>
      <c r="G28" s="53">
        <v>15071</v>
      </c>
      <c r="H28" s="54" t="s">
        <v>333</v>
      </c>
      <c r="I28" s="52"/>
      <c r="J28" s="55"/>
      <c r="O28" s="5"/>
    </row>
    <row r="29" spans="1:16" x14ac:dyDescent="0.3">
      <c r="A29" s="56" t="s">
        <v>25</v>
      </c>
      <c r="B29" s="57" t="s">
        <v>311</v>
      </c>
      <c r="C29" s="57" t="s">
        <v>348</v>
      </c>
      <c r="D29" s="57">
        <v>3128</v>
      </c>
      <c r="E29" s="57">
        <v>59182</v>
      </c>
      <c r="F29" s="57">
        <v>59432</v>
      </c>
      <c r="G29" s="58">
        <v>10740</v>
      </c>
      <c r="H29" s="59" t="s">
        <v>322</v>
      </c>
      <c r="I29" s="57"/>
      <c r="J29" s="60"/>
      <c r="O29" s="5"/>
    </row>
    <row r="30" spans="1:16" x14ac:dyDescent="0.3">
      <c r="A30" s="51" t="s">
        <v>26</v>
      </c>
      <c r="B30" s="52" t="s">
        <v>316</v>
      </c>
      <c r="C30" s="52" t="s">
        <v>349</v>
      </c>
      <c r="D30" s="52">
        <v>3009</v>
      </c>
      <c r="E30" s="52">
        <v>41309</v>
      </c>
      <c r="F30" s="52">
        <v>42126</v>
      </c>
      <c r="G30" s="53">
        <v>43420</v>
      </c>
      <c r="H30" s="54" t="s">
        <v>333</v>
      </c>
      <c r="I30" s="52"/>
      <c r="J30" s="55"/>
      <c r="O30" s="5"/>
    </row>
    <row r="31" spans="1:16" x14ac:dyDescent="0.3">
      <c r="A31" s="56" t="s">
        <v>27</v>
      </c>
      <c r="B31" s="57" t="s">
        <v>316</v>
      </c>
      <c r="C31" s="57" t="s">
        <v>350</v>
      </c>
      <c r="D31" s="57">
        <v>2076</v>
      </c>
      <c r="E31" s="57">
        <v>32244</v>
      </c>
      <c r="F31" s="57">
        <v>33216</v>
      </c>
      <c r="G31" s="58">
        <v>32393</v>
      </c>
      <c r="H31" s="59" t="s">
        <v>333</v>
      </c>
      <c r="I31" s="57"/>
      <c r="J31" s="60"/>
      <c r="O31" s="5"/>
    </row>
    <row r="32" spans="1:16" x14ac:dyDescent="0.3">
      <c r="A32" s="51" t="s">
        <v>28</v>
      </c>
      <c r="B32" s="52" t="s">
        <v>319</v>
      </c>
      <c r="C32" s="52" t="s">
        <v>351</v>
      </c>
      <c r="D32" s="52">
        <v>432</v>
      </c>
      <c r="E32" s="52">
        <v>6259</v>
      </c>
      <c r="F32" s="52">
        <v>6912</v>
      </c>
      <c r="G32" s="53">
        <v>28474</v>
      </c>
      <c r="H32" s="54" t="s">
        <v>333</v>
      </c>
      <c r="I32" s="52"/>
      <c r="J32" s="55"/>
      <c r="O32" s="5"/>
    </row>
    <row r="33" spans="1:15" x14ac:dyDescent="0.3">
      <c r="A33" s="56" t="s">
        <v>29</v>
      </c>
      <c r="B33" s="57" t="s">
        <v>319</v>
      </c>
      <c r="C33" s="57" t="s">
        <v>352</v>
      </c>
      <c r="D33" s="57">
        <v>2566</v>
      </c>
      <c r="E33" s="57">
        <v>12264</v>
      </c>
      <c r="F33" s="57">
        <v>12830</v>
      </c>
      <c r="G33" s="58">
        <v>17328</v>
      </c>
      <c r="H33" s="59" t="s">
        <v>333</v>
      </c>
      <c r="I33" s="57"/>
      <c r="J33" s="60"/>
      <c r="O33" s="5"/>
    </row>
    <row r="34" spans="1:15" x14ac:dyDescent="0.3">
      <c r="A34" s="51" t="s">
        <v>30</v>
      </c>
      <c r="B34" s="52" t="s">
        <v>319</v>
      </c>
      <c r="C34" s="52" t="s">
        <v>353</v>
      </c>
      <c r="D34" s="52">
        <v>3095</v>
      </c>
      <c r="E34" s="52">
        <v>54808</v>
      </c>
      <c r="F34" s="52">
        <v>55710</v>
      </c>
      <c r="G34" s="53">
        <v>26067</v>
      </c>
      <c r="H34" s="54" t="s">
        <v>322</v>
      </c>
      <c r="I34" s="52"/>
      <c r="J34" s="55"/>
      <c r="O34" s="5"/>
    </row>
    <row r="35" spans="1:15" x14ac:dyDescent="0.3">
      <c r="A35" s="56" t="s">
        <v>31</v>
      </c>
      <c r="B35" s="57" t="s">
        <v>319</v>
      </c>
      <c r="C35" s="57" t="s">
        <v>354</v>
      </c>
      <c r="D35" s="57">
        <v>438</v>
      </c>
      <c r="E35" s="57">
        <v>2701</v>
      </c>
      <c r="F35" s="57">
        <v>3066</v>
      </c>
      <c r="G35" s="58">
        <v>32763</v>
      </c>
      <c r="H35" s="59" t="s">
        <v>318</v>
      </c>
      <c r="I35" s="57"/>
      <c r="J35" s="60"/>
      <c r="O35" s="5"/>
    </row>
    <row r="36" spans="1:15" x14ac:dyDescent="0.3">
      <c r="A36" s="51" t="s">
        <v>32</v>
      </c>
      <c r="B36" s="52" t="s">
        <v>311</v>
      </c>
      <c r="C36" s="52" t="s">
        <v>355</v>
      </c>
      <c r="D36" s="52">
        <v>2278</v>
      </c>
      <c r="E36" s="52">
        <v>12676</v>
      </c>
      <c r="F36" s="52">
        <v>13668</v>
      </c>
      <c r="G36" s="53">
        <v>26452</v>
      </c>
      <c r="H36" s="54" t="s">
        <v>322</v>
      </c>
      <c r="I36" s="52"/>
      <c r="J36" s="55"/>
      <c r="O36" s="5"/>
    </row>
    <row r="37" spans="1:15" x14ac:dyDescent="0.3">
      <c r="A37" s="56" t="s">
        <v>33</v>
      </c>
      <c r="B37" s="57" t="s">
        <v>324</v>
      </c>
      <c r="C37" s="57" t="s">
        <v>356</v>
      </c>
      <c r="D37" s="57">
        <v>1407</v>
      </c>
      <c r="E37" s="57">
        <v>15954</v>
      </c>
      <c r="F37" s="57">
        <v>16884</v>
      </c>
      <c r="G37" s="58">
        <v>15353</v>
      </c>
      <c r="H37" s="59" t="s">
        <v>318</v>
      </c>
      <c r="I37" s="57"/>
      <c r="J37" s="60"/>
      <c r="O37" s="5"/>
    </row>
    <row r="38" spans="1:15" x14ac:dyDescent="0.3">
      <c r="A38" s="51" t="s">
        <v>34</v>
      </c>
      <c r="B38" s="52" t="s">
        <v>324</v>
      </c>
      <c r="C38" s="52" t="s">
        <v>357</v>
      </c>
      <c r="D38" s="52">
        <v>1652</v>
      </c>
      <c r="E38" s="52">
        <v>28771</v>
      </c>
      <c r="F38" s="52">
        <v>29736</v>
      </c>
      <c r="G38" s="53">
        <v>4839</v>
      </c>
      <c r="H38" s="54" t="s">
        <v>318</v>
      </c>
      <c r="I38" s="52"/>
      <c r="J38" s="55"/>
      <c r="O38" s="5"/>
    </row>
    <row r="39" spans="1:15" x14ac:dyDescent="0.3">
      <c r="A39" s="56" t="s">
        <v>35</v>
      </c>
      <c r="B39" s="57" t="s">
        <v>319</v>
      </c>
      <c r="C39" s="57" t="s">
        <v>358</v>
      </c>
      <c r="D39" s="57">
        <v>3775</v>
      </c>
      <c r="E39" s="57">
        <v>33310</v>
      </c>
      <c r="F39" s="57">
        <v>33975</v>
      </c>
      <c r="G39" s="58">
        <v>39272</v>
      </c>
      <c r="H39" s="59" t="s">
        <v>333</v>
      </c>
      <c r="I39" s="57"/>
      <c r="J39" s="60"/>
      <c r="O39" s="5"/>
    </row>
    <row r="40" spans="1:15" x14ac:dyDescent="0.3">
      <c r="A40" s="51" t="s">
        <v>36</v>
      </c>
      <c r="B40" s="52" t="s">
        <v>319</v>
      </c>
      <c r="C40" s="52" t="s">
        <v>359</v>
      </c>
      <c r="D40" s="52">
        <v>4518</v>
      </c>
      <c r="E40" s="52">
        <v>67621</v>
      </c>
      <c r="F40" s="52">
        <v>67770</v>
      </c>
      <c r="G40" s="53">
        <v>16804</v>
      </c>
      <c r="H40" s="54" t="s">
        <v>322</v>
      </c>
      <c r="I40" s="52"/>
      <c r="J40" s="55"/>
      <c r="O40" s="5"/>
    </row>
    <row r="41" spans="1:15" x14ac:dyDescent="0.3">
      <c r="A41" s="56" t="s">
        <v>37</v>
      </c>
      <c r="B41" s="57" t="s">
        <v>324</v>
      </c>
      <c r="C41" s="57" t="s">
        <v>360</v>
      </c>
      <c r="D41" s="57">
        <v>3024</v>
      </c>
      <c r="E41" s="57">
        <v>23518</v>
      </c>
      <c r="F41" s="57">
        <v>24192</v>
      </c>
      <c r="G41" s="58">
        <v>49303</v>
      </c>
      <c r="H41" s="59" t="s">
        <v>322</v>
      </c>
      <c r="I41" s="57"/>
      <c r="J41" s="60"/>
      <c r="O41" s="5"/>
    </row>
    <row r="42" spans="1:15" x14ac:dyDescent="0.3">
      <c r="A42" s="51" t="s">
        <v>38</v>
      </c>
      <c r="B42" s="52" t="s">
        <v>316</v>
      </c>
      <c r="C42" s="52" t="s">
        <v>361</v>
      </c>
      <c r="D42" s="52">
        <v>3138</v>
      </c>
      <c r="E42" s="52">
        <v>27550</v>
      </c>
      <c r="F42" s="52">
        <v>28242</v>
      </c>
      <c r="G42" s="53">
        <v>26455</v>
      </c>
      <c r="H42" s="54" t="s">
        <v>318</v>
      </c>
      <c r="I42" s="52"/>
      <c r="J42" s="55"/>
      <c r="O42" s="5"/>
    </row>
    <row r="43" spans="1:15" x14ac:dyDescent="0.3">
      <c r="A43" s="56" t="s">
        <v>39</v>
      </c>
      <c r="B43" s="57" t="s">
        <v>324</v>
      </c>
      <c r="C43" s="57" t="s">
        <v>362</v>
      </c>
      <c r="D43" s="57">
        <v>3564</v>
      </c>
      <c r="E43" s="57">
        <v>59627</v>
      </c>
      <c r="F43" s="57">
        <v>60588</v>
      </c>
      <c r="G43" s="58">
        <v>12384</v>
      </c>
      <c r="H43" s="59" t="s">
        <v>318</v>
      </c>
      <c r="I43" s="57"/>
      <c r="J43" s="60"/>
      <c r="O43" s="5"/>
    </row>
    <row r="44" spans="1:15" x14ac:dyDescent="0.3">
      <c r="A44" s="51" t="s">
        <v>40</v>
      </c>
      <c r="B44" s="52" t="s">
        <v>311</v>
      </c>
      <c r="C44" s="52" t="s">
        <v>363</v>
      </c>
      <c r="D44" s="52">
        <v>4750</v>
      </c>
      <c r="E44" s="52">
        <v>37792</v>
      </c>
      <c r="F44" s="52">
        <v>38000</v>
      </c>
      <c r="G44" s="53">
        <v>49372</v>
      </c>
      <c r="H44" s="54" t="s">
        <v>322</v>
      </c>
      <c r="I44" s="52"/>
      <c r="J44" s="55"/>
      <c r="O44" s="5"/>
    </row>
    <row r="45" spans="1:15" x14ac:dyDescent="0.3">
      <c r="A45" s="56" t="s">
        <v>41</v>
      </c>
      <c r="B45" s="57" t="s">
        <v>319</v>
      </c>
      <c r="C45" s="57" t="s">
        <v>364</v>
      </c>
      <c r="D45" s="57">
        <v>456</v>
      </c>
      <c r="E45" s="57">
        <v>7377</v>
      </c>
      <c r="F45" s="57">
        <v>8208</v>
      </c>
      <c r="G45" s="58">
        <v>47101</v>
      </c>
      <c r="H45" s="59" t="s">
        <v>333</v>
      </c>
      <c r="I45" s="57"/>
      <c r="J45" s="60"/>
      <c r="O45" s="5"/>
    </row>
    <row r="46" spans="1:15" x14ac:dyDescent="0.3">
      <c r="A46" s="51" t="s">
        <v>42</v>
      </c>
      <c r="B46" s="52" t="s">
        <v>316</v>
      </c>
      <c r="C46" s="52" t="s">
        <v>365</v>
      </c>
      <c r="D46" s="52">
        <v>1543</v>
      </c>
      <c r="E46" s="52">
        <v>11496</v>
      </c>
      <c r="F46" s="52">
        <v>12344</v>
      </c>
      <c r="G46" s="53">
        <v>37903</v>
      </c>
      <c r="H46" s="54" t="s">
        <v>322</v>
      </c>
      <c r="I46" s="52"/>
      <c r="J46" s="55"/>
      <c r="O46" s="5"/>
    </row>
    <row r="47" spans="1:15" x14ac:dyDescent="0.3">
      <c r="A47" s="56" t="s">
        <v>43</v>
      </c>
      <c r="B47" s="57" t="s">
        <v>319</v>
      </c>
      <c r="C47" s="57" t="s">
        <v>366</v>
      </c>
      <c r="D47" s="57">
        <v>2174</v>
      </c>
      <c r="E47" s="57">
        <v>12206</v>
      </c>
      <c r="F47" s="57">
        <v>13044</v>
      </c>
      <c r="G47" s="58">
        <v>33258</v>
      </c>
      <c r="H47" s="59" t="s">
        <v>318</v>
      </c>
      <c r="I47" s="57"/>
      <c r="J47" s="60"/>
      <c r="O47" s="5"/>
    </row>
    <row r="48" spans="1:15" x14ac:dyDescent="0.3">
      <c r="A48" s="51" t="s">
        <v>44</v>
      </c>
      <c r="B48" s="52" t="s">
        <v>311</v>
      </c>
      <c r="C48" s="52" t="s">
        <v>367</v>
      </c>
      <c r="D48" s="52">
        <v>2358</v>
      </c>
      <c r="E48" s="52">
        <v>34475</v>
      </c>
      <c r="F48" s="52">
        <v>35370</v>
      </c>
      <c r="G48" s="53">
        <v>6915</v>
      </c>
      <c r="H48" s="54" t="s">
        <v>318</v>
      </c>
      <c r="I48" s="52"/>
      <c r="J48" s="55"/>
      <c r="O48" s="5"/>
    </row>
    <row r="49" spans="1:15" x14ac:dyDescent="0.3">
      <c r="A49" s="56" t="s">
        <v>45</v>
      </c>
      <c r="B49" s="57" t="s">
        <v>324</v>
      </c>
      <c r="C49" s="57" t="s">
        <v>368</v>
      </c>
      <c r="D49" s="57">
        <v>3371</v>
      </c>
      <c r="E49" s="57">
        <v>49816</v>
      </c>
      <c r="F49" s="57">
        <v>50565</v>
      </c>
      <c r="G49" s="58">
        <v>35501</v>
      </c>
      <c r="H49" s="59" t="s">
        <v>333</v>
      </c>
      <c r="I49" s="57"/>
      <c r="J49" s="60"/>
      <c r="O49" s="5"/>
    </row>
    <row r="50" spans="1:15" x14ac:dyDescent="0.3">
      <c r="A50" s="51" t="s">
        <v>46</v>
      </c>
      <c r="B50" s="52" t="s">
        <v>311</v>
      </c>
      <c r="C50" s="52" t="s">
        <v>369</v>
      </c>
      <c r="D50" s="52">
        <v>1108</v>
      </c>
      <c r="E50" s="52">
        <v>8710</v>
      </c>
      <c r="F50" s="52">
        <v>8864</v>
      </c>
      <c r="G50" s="53">
        <v>14203</v>
      </c>
      <c r="H50" s="54" t="s">
        <v>318</v>
      </c>
      <c r="I50" s="52"/>
      <c r="J50" s="55"/>
      <c r="O50" s="5"/>
    </row>
    <row r="51" spans="1:15" x14ac:dyDescent="0.3">
      <c r="A51" s="56" t="s">
        <v>47</v>
      </c>
      <c r="B51" s="57" t="s">
        <v>311</v>
      </c>
      <c r="C51" s="57" t="s">
        <v>370</v>
      </c>
      <c r="D51" s="57">
        <v>2704</v>
      </c>
      <c r="E51" s="57">
        <v>20792</v>
      </c>
      <c r="F51" s="57">
        <v>21632</v>
      </c>
      <c r="G51" s="58">
        <v>22206</v>
      </c>
      <c r="H51" s="59" t="s">
        <v>333</v>
      </c>
      <c r="I51" s="57"/>
      <c r="J51" s="60"/>
      <c r="O51" s="5"/>
    </row>
    <row r="52" spans="1:15" x14ac:dyDescent="0.3">
      <c r="A52" s="51" t="s">
        <v>48</v>
      </c>
      <c r="B52" s="52" t="s">
        <v>311</v>
      </c>
      <c r="C52" s="52" t="s">
        <v>331</v>
      </c>
      <c r="D52" s="52">
        <v>1950</v>
      </c>
      <c r="E52" s="52">
        <v>36272</v>
      </c>
      <c r="F52" s="52">
        <v>37050</v>
      </c>
      <c r="G52" s="53">
        <v>10283</v>
      </c>
      <c r="H52" s="54" t="s">
        <v>318</v>
      </c>
      <c r="I52" s="52"/>
      <c r="J52" s="55"/>
      <c r="O52" s="5"/>
    </row>
    <row r="53" spans="1:15" x14ac:dyDescent="0.3">
      <c r="A53" s="56" t="s">
        <v>49</v>
      </c>
      <c r="B53" s="57" t="s">
        <v>311</v>
      </c>
      <c r="C53" s="57" t="s">
        <v>371</v>
      </c>
      <c r="D53" s="57">
        <v>2164</v>
      </c>
      <c r="E53" s="57">
        <v>27361</v>
      </c>
      <c r="F53" s="57">
        <v>28132</v>
      </c>
      <c r="G53" s="58">
        <v>24913</v>
      </c>
      <c r="H53" s="59" t="s">
        <v>318</v>
      </c>
      <c r="I53" s="57"/>
      <c r="J53" s="60"/>
      <c r="O53" s="5"/>
    </row>
    <row r="54" spans="1:15" x14ac:dyDescent="0.3">
      <c r="A54" s="51" t="s">
        <v>50</v>
      </c>
      <c r="B54" s="52" t="s">
        <v>316</v>
      </c>
      <c r="C54" s="52" t="s">
        <v>372</v>
      </c>
      <c r="D54" s="52">
        <v>2754</v>
      </c>
      <c r="E54" s="52">
        <v>21288</v>
      </c>
      <c r="F54" s="52">
        <v>22032</v>
      </c>
      <c r="G54" s="53">
        <v>26925</v>
      </c>
      <c r="H54" s="54" t="s">
        <v>318</v>
      </c>
      <c r="I54" s="52"/>
      <c r="J54" s="55"/>
      <c r="O54" s="5"/>
    </row>
    <row r="55" spans="1:15" x14ac:dyDescent="0.3">
      <c r="A55" s="56" t="s">
        <v>51</v>
      </c>
      <c r="B55" s="57" t="s">
        <v>324</v>
      </c>
      <c r="C55" s="57" t="s">
        <v>373</v>
      </c>
      <c r="D55" s="57">
        <v>2200</v>
      </c>
      <c r="E55" s="57">
        <v>36938</v>
      </c>
      <c r="F55" s="57">
        <v>37400</v>
      </c>
      <c r="G55" s="58">
        <v>9942</v>
      </c>
      <c r="H55" s="59" t="s">
        <v>333</v>
      </c>
      <c r="I55" s="57"/>
      <c r="J55" s="60"/>
      <c r="O55" s="5"/>
    </row>
    <row r="56" spans="1:15" x14ac:dyDescent="0.3">
      <c r="A56" s="51" t="s">
        <v>52</v>
      </c>
      <c r="B56" s="52" t="s">
        <v>324</v>
      </c>
      <c r="C56" s="52" t="s">
        <v>374</v>
      </c>
      <c r="D56" s="52">
        <v>947</v>
      </c>
      <c r="E56" s="52">
        <v>9730</v>
      </c>
      <c r="F56" s="52">
        <v>10417</v>
      </c>
      <c r="G56" s="53">
        <v>32929</v>
      </c>
      <c r="H56" s="54" t="s">
        <v>318</v>
      </c>
      <c r="I56" s="52"/>
      <c r="J56" s="55"/>
      <c r="O56" s="5"/>
    </row>
    <row r="57" spans="1:15" x14ac:dyDescent="0.3">
      <c r="A57" s="56" t="s">
        <v>53</v>
      </c>
      <c r="B57" s="57" t="s">
        <v>316</v>
      </c>
      <c r="C57" s="57" t="s">
        <v>370</v>
      </c>
      <c r="D57" s="57">
        <v>804</v>
      </c>
      <c r="E57" s="57">
        <v>3144</v>
      </c>
      <c r="F57" s="57">
        <v>4020</v>
      </c>
      <c r="G57" s="58">
        <v>37829</v>
      </c>
      <c r="H57" s="59" t="s">
        <v>322</v>
      </c>
      <c r="I57" s="57" t="s">
        <v>524</v>
      </c>
      <c r="J57" s="60"/>
      <c r="O57" s="5"/>
    </row>
    <row r="58" spans="1:15" x14ac:dyDescent="0.3">
      <c r="A58" s="51" t="s">
        <v>54</v>
      </c>
      <c r="B58" s="52" t="s">
        <v>316</v>
      </c>
      <c r="C58" s="52" t="s">
        <v>375</v>
      </c>
      <c r="D58" s="52">
        <v>1686</v>
      </c>
      <c r="E58" s="52">
        <v>18171</v>
      </c>
      <c r="F58" s="52">
        <v>18546</v>
      </c>
      <c r="G58" s="53">
        <v>24384</v>
      </c>
      <c r="H58" s="54" t="s">
        <v>333</v>
      </c>
      <c r="I58" s="52"/>
      <c r="J58" s="55"/>
      <c r="O58" s="5"/>
    </row>
    <row r="59" spans="1:15" x14ac:dyDescent="0.3">
      <c r="A59" s="56" t="s">
        <v>55</v>
      </c>
      <c r="B59" s="57" t="s">
        <v>324</v>
      </c>
      <c r="C59" s="57" t="s">
        <v>376</v>
      </c>
      <c r="D59" s="57">
        <v>1226</v>
      </c>
      <c r="E59" s="57">
        <v>14049</v>
      </c>
      <c r="F59" s="57">
        <v>14712</v>
      </c>
      <c r="G59" s="58">
        <v>25797</v>
      </c>
      <c r="H59" s="59" t="s">
        <v>322</v>
      </c>
      <c r="I59" s="57"/>
      <c r="J59" s="60"/>
      <c r="O59" s="5"/>
    </row>
    <row r="60" spans="1:15" x14ac:dyDescent="0.3">
      <c r="A60" s="51" t="s">
        <v>56</v>
      </c>
      <c r="B60" s="52" t="s">
        <v>324</v>
      </c>
      <c r="C60" s="52" t="s">
        <v>377</v>
      </c>
      <c r="D60" s="52">
        <v>2946</v>
      </c>
      <c r="E60" s="52">
        <v>28527</v>
      </c>
      <c r="F60" s="52">
        <v>29460</v>
      </c>
      <c r="G60" s="53">
        <v>12646</v>
      </c>
      <c r="H60" s="54" t="s">
        <v>333</v>
      </c>
      <c r="I60" s="52"/>
      <c r="J60" s="55"/>
      <c r="O60" s="5"/>
    </row>
    <row r="61" spans="1:15" x14ac:dyDescent="0.3">
      <c r="A61" s="56" t="s">
        <v>57</v>
      </c>
      <c r="B61" s="57" t="s">
        <v>311</v>
      </c>
      <c r="C61" s="57" t="s">
        <v>378</v>
      </c>
      <c r="D61" s="57">
        <v>2825</v>
      </c>
      <c r="E61" s="57">
        <v>44739</v>
      </c>
      <c r="F61" s="57">
        <v>45200</v>
      </c>
      <c r="G61" s="58">
        <v>26663</v>
      </c>
      <c r="H61" s="59" t="s">
        <v>318</v>
      </c>
      <c r="I61" s="57"/>
      <c r="J61" s="60"/>
      <c r="O61" s="5"/>
    </row>
    <row r="62" spans="1:15" x14ac:dyDescent="0.3">
      <c r="A62" s="51" t="s">
        <v>58</v>
      </c>
      <c r="B62" s="52" t="s">
        <v>319</v>
      </c>
      <c r="C62" s="52" t="s">
        <v>379</v>
      </c>
      <c r="D62" s="52">
        <v>103</v>
      </c>
      <c r="E62" s="52">
        <v>410</v>
      </c>
      <c r="F62" s="52">
        <v>1030</v>
      </c>
      <c r="G62" s="53">
        <v>40478</v>
      </c>
      <c r="H62" s="54" t="s">
        <v>318</v>
      </c>
      <c r="I62" s="52"/>
      <c r="J62" s="55"/>
      <c r="O62" s="5"/>
    </row>
    <row r="63" spans="1:15" x14ac:dyDescent="0.3">
      <c r="A63" s="56" t="s">
        <v>59</v>
      </c>
      <c r="B63" s="57" t="s">
        <v>319</v>
      </c>
      <c r="C63" s="57" t="s">
        <v>380</v>
      </c>
      <c r="D63" s="57">
        <v>2180</v>
      </c>
      <c r="E63" s="57">
        <v>30059</v>
      </c>
      <c r="F63" s="57">
        <v>30520</v>
      </c>
      <c r="G63" s="58">
        <v>15476</v>
      </c>
      <c r="H63" s="59" t="s">
        <v>322</v>
      </c>
      <c r="I63" s="57"/>
      <c r="J63" s="60"/>
      <c r="O63" s="5"/>
    </row>
    <row r="64" spans="1:15" x14ac:dyDescent="0.3">
      <c r="A64" s="51" t="s">
        <v>60</v>
      </c>
      <c r="B64" s="52" t="s">
        <v>319</v>
      </c>
      <c r="C64" s="52" t="s">
        <v>381</v>
      </c>
      <c r="D64" s="52">
        <v>904</v>
      </c>
      <c r="E64" s="52">
        <v>11580</v>
      </c>
      <c r="F64" s="52">
        <v>11752</v>
      </c>
      <c r="G64" s="53">
        <v>10217</v>
      </c>
      <c r="H64" s="54" t="s">
        <v>322</v>
      </c>
      <c r="I64" s="52" t="s">
        <v>318</v>
      </c>
      <c r="J64" s="55" t="s">
        <v>523</v>
      </c>
      <c r="O64" s="5"/>
    </row>
    <row r="65" spans="1:15" x14ac:dyDescent="0.3">
      <c r="A65" s="56" t="s">
        <v>61</v>
      </c>
      <c r="B65" s="57" t="s">
        <v>311</v>
      </c>
      <c r="C65" s="57" t="s">
        <v>382</v>
      </c>
      <c r="D65" s="57">
        <v>4886</v>
      </c>
      <c r="E65" s="57">
        <v>43239</v>
      </c>
      <c r="F65" s="57">
        <v>43974</v>
      </c>
      <c r="G65" s="58">
        <v>21939</v>
      </c>
      <c r="H65" s="59" t="s">
        <v>318</v>
      </c>
      <c r="I65" s="57"/>
      <c r="J65" s="60"/>
      <c r="O65" s="5"/>
    </row>
    <row r="66" spans="1:15" x14ac:dyDescent="0.3">
      <c r="A66" s="51" t="s">
        <v>62</v>
      </c>
      <c r="B66" s="52" t="s">
        <v>311</v>
      </c>
      <c r="C66" s="52" t="s">
        <v>383</v>
      </c>
      <c r="D66" s="52">
        <v>53</v>
      </c>
      <c r="E66" s="52">
        <v>7</v>
      </c>
      <c r="F66" s="52">
        <v>954</v>
      </c>
      <c r="G66" s="53">
        <v>47462</v>
      </c>
      <c r="H66" s="54" t="s">
        <v>318</v>
      </c>
      <c r="I66" s="52"/>
      <c r="J66" s="55"/>
      <c r="O66" s="5"/>
    </row>
    <row r="67" spans="1:15" x14ac:dyDescent="0.3">
      <c r="A67" s="56" t="s">
        <v>63</v>
      </c>
      <c r="B67" s="57" t="s">
        <v>311</v>
      </c>
      <c r="C67" s="57" t="s">
        <v>355</v>
      </c>
      <c r="D67" s="57">
        <v>4507</v>
      </c>
      <c r="E67" s="57">
        <v>89591</v>
      </c>
      <c r="F67" s="57">
        <v>90140</v>
      </c>
      <c r="G67" s="58">
        <v>30270</v>
      </c>
      <c r="H67" s="59" t="s">
        <v>333</v>
      </c>
      <c r="I67" s="57"/>
      <c r="J67" s="60"/>
      <c r="O67" s="5"/>
    </row>
    <row r="68" spans="1:15" x14ac:dyDescent="0.3">
      <c r="A68" s="51" t="s">
        <v>64</v>
      </c>
      <c r="B68" s="52" t="s">
        <v>324</v>
      </c>
      <c r="C68" s="52" t="s">
        <v>384</v>
      </c>
      <c r="D68" s="52">
        <v>2878</v>
      </c>
      <c r="E68" s="52">
        <v>42667</v>
      </c>
      <c r="F68" s="52">
        <v>43170</v>
      </c>
      <c r="G68" s="53">
        <v>5442</v>
      </c>
      <c r="H68" s="54" t="s">
        <v>333</v>
      </c>
      <c r="I68" s="52"/>
      <c r="J68" s="55"/>
      <c r="O68" s="5"/>
    </row>
    <row r="69" spans="1:15" x14ac:dyDescent="0.3">
      <c r="A69" s="56" t="s">
        <v>65</v>
      </c>
      <c r="B69" s="57" t="s">
        <v>319</v>
      </c>
      <c r="C69" s="57" t="s">
        <v>385</v>
      </c>
      <c r="D69" s="57">
        <v>1881</v>
      </c>
      <c r="E69" s="57">
        <v>19987</v>
      </c>
      <c r="F69" s="57">
        <v>20691</v>
      </c>
      <c r="G69" s="58">
        <v>1083</v>
      </c>
      <c r="H69" s="59" t="s">
        <v>322</v>
      </c>
      <c r="I69" s="57"/>
      <c r="J69" s="60"/>
      <c r="O69" s="5"/>
    </row>
    <row r="70" spans="1:15" x14ac:dyDescent="0.3">
      <c r="A70" s="51" t="s">
        <v>66</v>
      </c>
      <c r="B70" s="52" t="s">
        <v>311</v>
      </c>
      <c r="C70" s="52" t="s">
        <v>386</v>
      </c>
      <c r="D70" s="52">
        <v>432</v>
      </c>
      <c r="E70" s="52">
        <v>2285</v>
      </c>
      <c r="F70" s="52">
        <v>3024</v>
      </c>
      <c r="G70" s="53">
        <v>11901</v>
      </c>
      <c r="H70" s="54" t="s">
        <v>322</v>
      </c>
      <c r="I70" s="52"/>
      <c r="J70" s="55"/>
      <c r="O70" s="5"/>
    </row>
    <row r="71" spans="1:15" x14ac:dyDescent="0.3">
      <c r="A71" s="56" t="s">
        <v>67</v>
      </c>
      <c r="B71" s="57" t="s">
        <v>324</v>
      </c>
      <c r="C71" s="57" t="s">
        <v>387</v>
      </c>
      <c r="D71" s="57">
        <v>4712</v>
      </c>
      <c r="E71" s="57">
        <v>84691</v>
      </c>
      <c r="F71" s="57">
        <v>84816</v>
      </c>
      <c r="G71" s="58">
        <v>24018</v>
      </c>
      <c r="H71" s="59" t="s">
        <v>322</v>
      </c>
      <c r="I71" s="57"/>
      <c r="J71" s="60"/>
      <c r="O71" s="5"/>
    </row>
    <row r="72" spans="1:15" x14ac:dyDescent="0.3">
      <c r="A72" s="51" t="s">
        <v>68</v>
      </c>
      <c r="B72" s="52" t="s">
        <v>319</v>
      </c>
      <c r="C72" s="52" t="s">
        <v>388</v>
      </c>
      <c r="D72" s="52">
        <v>2610</v>
      </c>
      <c r="E72" s="52">
        <v>15145</v>
      </c>
      <c r="F72" s="52">
        <v>15660</v>
      </c>
      <c r="G72" s="53">
        <v>38883</v>
      </c>
      <c r="H72" s="54" t="s">
        <v>322</v>
      </c>
      <c r="I72" s="52"/>
      <c r="J72" s="55"/>
      <c r="O72" s="5"/>
    </row>
    <row r="73" spans="1:15" x14ac:dyDescent="0.3">
      <c r="A73" s="56" t="s">
        <v>69</v>
      </c>
      <c r="B73" s="57" t="s">
        <v>311</v>
      </c>
      <c r="C73" s="57" t="s">
        <v>364</v>
      </c>
      <c r="D73" s="57">
        <v>1292</v>
      </c>
      <c r="E73" s="57">
        <v>24916</v>
      </c>
      <c r="F73" s="57">
        <v>25840</v>
      </c>
      <c r="G73" s="58">
        <v>30575</v>
      </c>
      <c r="H73" s="59" t="s">
        <v>333</v>
      </c>
      <c r="I73" s="57"/>
      <c r="J73" s="60"/>
      <c r="O73" s="5"/>
    </row>
    <row r="74" spans="1:15" x14ac:dyDescent="0.3">
      <c r="A74" s="51" t="s">
        <v>70</v>
      </c>
      <c r="B74" s="52" t="s">
        <v>324</v>
      </c>
      <c r="C74" s="52" t="s">
        <v>389</v>
      </c>
      <c r="D74" s="52">
        <v>199</v>
      </c>
      <c r="E74" s="52">
        <v>2988</v>
      </c>
      <c r="F74" s="52">
        <v>3582</v>
      </c>
      <c r="G74" s="53">
        <v>2315</v>
      </c>
      <c r="H74" s="54" t="s">
        <v>318</v>
      </c>
      <c r="I74" s="52"/>
      <c r="J74" s="55"/>
      <c r="O74" s="5"/>
    </row>
    <row r="75" spans="1:15" x14ac:dyDescent="0.3">
      <c r="A75" s="56" t="s">
        <v>71</v>
      </c>
      <c r="B75" s="57" t="s">
        <v>316</v>
      </c>
      <c r="C75" s="57" t="s">
        <v>390</v>
      </c>
      <c r="D75" s="57">
        <v>2551</v>
      </c>
      <c r="E75" s="57">
        <v>30360</v>
      </c>
      <c r="F75" s="57">
        <v>30612</v>
      </c>
      <c r="G75" s="58">
        <v>12148</v>
      </c>
      <c r="H75" s="59" t="s">
        <v>318</v>
      </c>
      <c r="I75" s="57"/>
      <c r="J75" s="60"/>
      <c r="O75" s="5"/>
    </row>
    <row r="76" spans="1:15" x14ac:dyDescent="0.3">
      <c r="A76" s="51" t="s">
        <v>72</v>
      </c>
      <c r="B76" s="52" t="s">
        <v>316</v>
      </c>
      <c r="C76" s="52" t="s">
        <v>391</v>
      </c>
      <c r="D76" s="52">
        <v>296</v>
      </c>
      <c r="E76" s="52">
        <v>5239</v>
      </c>
      <c r="F76" s="52">
        <v>5624</v>
      </c>
      <c r="G76" s="53">
        <v>36851</v>
      </c>
      <c r="H76" s="54" t="s">
        <v>322</v>
      </c>
      <c r="I76" s="52"/>
      <c r="J76" s="55"/>
      <c r="O76" s="5"/>
    </row>
    <row r="77" spans="1:15" x14ac:dyDescent="0.3">
      <c r="A77" s="56" t="s">
        <v>73</v>
      </c>
      <c r="B77" s="57" t="s">
        <v>324</v>
      </c>
      <c r="C77" s="57" t="s">
        <v>392</v>
      </c>
      <c r="D77" s="57">
        <v>4126</v>
      </c>
      <c r="E77" s="57">
        <v>77798</v>
      </c>
      <c r="F77" s="57">
        <v>78394</v>
      </c>
      <c r="G77" s="58">
        <v>41215</v>
      </c>
      <c r="H77" s="59" t="s">
        <v>333</v>
      </c>
      <c r="I77" s="57"/>
      <c r="J77" s="60"/>
      <c r="O77" s="5"/>
    </row>
    <row r="78" spans="1:15" x14ac:dyDescent="0.3">
      <c r="A78" s="51" t="s">
        <v>74</v>
      </c>
      <c r="B78" s="52" t="s">
        <v>316</v>
      </c>
      <c r="C78" s="52" t="s">
        <v>393</v>
      </c>
      <c r="D78" s="52">
        <v>1855</v>
      </c>
      <c r="E78" s="52">
        <v>16330</v>
      </c>
      <c r="F78" s="52">
        <v>16695</v>
      </c>
      <c r="G78" s="53">
        <v>43836</v>
      </c>
      <c r="H78" s="54" t="s">
        <v>318</v>
      </c>
      <c r="I78" s="52"/>
      <c r="J78" s="55"/>
      <c r="O78" s="5"/>
    </row>
    <row r="79" spans="1:15" x14ac:dyDescent="0.3">
      <c r="A79" s="56" t="s">
        <v>75</v>
      </c>
      <c r="B79" s="57" t="s">
        <v>319</v>
      </c>
      <c r="C79" s="57" t="s">
        <v>394</v>
      </c>
      <c r="D79" s="57">
        <v>1674</v>
      </c>
      <c r="E79" s="57">
        <v>20998</v>
      </c>
      <c r="F79" s="57">
        <v>21762</v>
      </c>
      <c r="G79" s="58">
        <v>4509</v>
      </c>
      <c r="H79" s="59" t="s">
        <v>318</v>
      </c>
      <c r="I79" s="57"/>
      <c r="J79" s="60"/>
      <c r="O79" s="5"/>
    </row>
    <row r="80" spans="1:15" x14ac:dyDescent="0.3">
      <c r="A80" s="51" t="s">
        <v>76</v>
      </c>
      <c r="B80" s="52" t="s">
        <v>311</v>
      </c>
      <c r="C80" s="52" t="s">
        <v>395</v>
      </c>
      <c r="D80" s="52">
        <v>1121</v>
      </c>
      <c r="E80" s="52">
        <v>14957</v>
      </c>
      <c r="F80" s="52">
        <v>15694</v>
      </c>
      <c r="G80" s="53">
        <v>27822</v>
      </c>
      <c r="H80" s="54" t="s">
        <v>318</v>
      </c>
      <c r="I80" s="52"/>
      <c r="J80" s="55"/>
      <c r="O80" s="5"/>
    </row>
    <row r="81" spans="1:15" x14ac:dyDescent="0.3">
      <c r="A81" s="56" t="s">
        <v>77</v>
      </c>
      <c r="B81" s="57" t="s">
        <v>324</v>
      </c>
      <c r="C81" s="57" t="s">
        <v>351</v>
      </c>
      <c r="D81" s="57">
        <v>1249</v>
      </c>
      <c r="E81" s="57">
        <v>8538</v>
      </c>
      <c r="F81" s="57">
        <v>8743</v>
      </c>
      <c r="G81" s="58">
        <v>36397</v>
      </c>
      <c r="H81" s="59" t="s">
        <v>318</v>
      </c>
      <c r="I81" s="57"/>
      <c r="J81" s="60"/>
      <c r="O81" s="5"/>
    </row>
    <row r="82" spans="1:15" x14ac:dyDescent="0.3">
      <c r="A82" s="51" t="s">
        <v>78</v>
      </c>
      <c r="B82" s="52" t="s">
        <v>311</v>
      </c>
      <c r="C82" s="52" t="s">
        <v>376</v>
      </c>
      <c r="D82" s="52">
        <v>954</v>
      </c>
      <c r="E82" s="52">
        <v>18859</v>
      </c>
      <c r="F82" s="52">
        <v>19080</v>
      </c>
      <c r="G82" s="53">
        <v>7285</v>
      </c>
      <c r="H82" s="54" t="s">
        <v>333</v>
      </c>
      <c r="I82" s="52"/>
      <c r="J82" s="55"/>
      <c r="O82" s="5"/>
    </row>
    <row r="83" spans="1:15" x14ac:dyDescent="0.3">
      <c r="A83" s="56" t="s">
        <v>79</v>
      </c>
      <c r="B83" s="57" t="s">
        <v>319</v>
      </c>
      <c r="C83" s="57" t="s">
        <v>396</v>
      </c>
      <c r="D83" s="57">
        <v>3068</v>
      </c>
      <c r="E83" s="57">
        <v>39404</v>
      </c>
      <c r="F83" s="57">
        <v>39884</v>
      </c>
      <c r="G83" s="58">
        <v>33174</v>
      </c>
      <c r="H83" s="59" t="s">
        <v>322</v>
      </c>
      <c r="I83" s="57"/>
      <c r="J83" s="60"/>
      <c r="O83" s="5"/>
    </row>
    <row r="84" spans="1:15" x14ac:dyDescent="0.3">
      <c r="A84" s="51" t="s">
        <v>80</v>
      </c>
      <c r="B84" s="52" t="s">
        <v>319</v>
      </c>
      <c r="C84" s="52" t="s">
        <v>373</v>
      </c>
      <c r="D84" s="52">
        <v>2103</v>
      </c>
      <c r="E84" s="52">
        <v>39466</v>
      </c>
      <c r="F84" s="52">
        <v>39957</v>
      </c>
      <c r="G84" s="53">
        <v>6742</v>
      </c>
      <c r="H84" s="54" t="s">
        <v>333</v>
      </c>
      <c r="I84" s="52"/>
      <c r="J84" s="55"/>
      <c r="O84" s="5"/>
    </row>
    <row r="85" spans="1:15" x14ac:dyDescent="0.3">
      <c r="A85" s="56" t="s">
        <v>81</v>
      </c>
      <c r="B85" s="57" t="s">
        <v>319</v>
      </c>
      <c r="C85" s="57" t="s">
        <v>397</v>
      </c>
      <c r="D85" s="57">
        <v>1816</v>
      </c>
      <c r="E85" s="57">
        <v>19262</v>
      </c>
      <c r="F85" s="57">
        <v>19976</v>
      </c>
      <c r="G85" s="58">
        <v>32478</v>
      </c>
      <c r="H85" s="59" t="s">
        <v>318</v>
      </c>
      <c r="I85" s="57"/>
      <c r="J85" s="60"/>
      <c r="O85" s="5"/>
    </row>
    <row r="86" spans="1:15" x14ac:dyDescent="0.3">
      <c r="A86" s="51" t="s">
        <v>82</v>
      </c>
      <c r="B86" s="52" t="s">
        <v>319</v>
      </c>
      <c r="C86" s="52" t="s">
        <v>398</v>
      </c>
      <c r="D86" s="52">
        <v>725</v>
      </c>
      <c r="E86" s="52">
        <v>13637</v>
      </c>
      <c r="F86" s="52">
        <v>14500</v>
      </c>
      <c r="G86" s="53">
        <v>42824</v>
      </c>
      <c r="H86" s="54" t="s">
        <v>333</v>
      </c>
      <c r="I86" s="52" t="s">
        <v>318</v>
      </c>
      <c r="J86" s="55" t="s">
        <v>523</v>
      </c>
      <c r="O86" s="5"/>
    </row>
    <row r="87" spans="1:15" x14ac:dyDescent="0.3">
      <c r="A87" s="56" t="s">
        <v>83</v>
      </c>
      <c r="B87" s="57" t="s">
        <v>316</v>
      </c>
      <c r="C87" s="57" t="s">
        <v>399</v>
      </c>
      <c r="D87" s="57">
        <v>1094</v>
      </c>
      <c r="E87" s="57">
        <v>9609</v>
      </c>
      <c r="F87" s="57">
        <v>9846</v>
      </c>
      <c r="G87" s="58">
        <v>21208</v>
      </c>
      <c r="H87" s="59" t="s">
        <v>322</v>
      </c>
      <c r="I87" s="57"/>
      <c r="J87" s="60"/>
      <c r="O87" s="5"/>
    </row>
    <row r="88" spans="1:15" x14ac:dyDescent="0.3">
      <c r="A88" s="51" t="s">
        <v>84</v>
      </c>
      <c r="B88" s="52" t="s">
        <v>324</v>
      </c>
      <c r="C88" s="52" t="s">
        <v>400</v>
      </c>
      <c r="D88" s="52">
        <v>1841</v>
      </c>
      <c r="E88" s="52">
        <v>34154</v>
      </c>
      <c r="F88" s="52">
        <v>34979</v>
      </c>
      <c r="G88" s="53">
        <v>44321</v>
      </c>
      <c r="H88" s="54" t="s">
        <v>333</v>
      </c>
      <c r="I88" s="52"/>
      <c r="J88" s="55"/>
      <c r="O88" s="5"/>
    </row>
    <row r="89" spans="1:15" x14ac:dyDescent="0.3">
      <c r="A89" s="56" t="s">
        <v>85</v>
      </c>
      <c r="B89" s="57" t="s">
        <v>319</v>
      </c>
      <c r="C89" s="57" t="s">
        <v>359</v>
      </c>
      <c r="D89" s="57">
        <v>4177</v>
      </c>
      <c r="E89" s="57">
        <v>24847</v>
      </c>
      <c r="F89" s="57">
        <v>25062</v>
      </c>
      <c r="G89" s="58">
        <v>13116</v>
      </c>
      <c r="H89" s="59" t="s">
        <v>333</v>
      </c>
      <c r="I89" s="57"/>
      <c r="J89" s="60"/>
      <c r="O89" s="5"/>
    </row>
    <row r="90" spans="1:15" x14ac:dyDescent="0.3">
      <c r="A90" s="51" t="s">
        <v>86</v>
      </c>
      <c r="B90" s="52" t="s">
        <v>316</v>
      </c>
      <c r="C90" s="52" t="s">
        <v>401</v>
      </c>
      <c r="D90" s="52">
        <v>3428</v>
      </c>
      <c r="E90" s="52">
        <v>58052</v>
      </c>
      <c r="F90" s="52">
        <v>58276</v>
      </c>
      <c r="G90" s="53">
        <v>30214</v>
      </c>
      <c r="H90" s="54" t="s">
        <v>322</v>
      </c>
      <c r="I90" s="52" t="s">
        <v>524</v>
      </c>
      <c r="J90" s="55"/>
      <c r="O90" s="5"/>
    </row>
    <row r="91" spans="1:15" x14ac:dyDescent="0.3">
      <c r="A91" s="56" t="s">
        <v>87</v>
      </c>
      <c r="B91" s="57" t="s">
        <v>311</v>
      </c>
      <c r="C91" s="57" t="s">
        <v>402</v>
      </c>
      <c r="D91" s="57">
        <v>1436</v>
      </c>
      <c r="E91" s="57">
        <v>12701</v>
      </c>
      <c r="F91" s="57">
        <v>12924</v>
      </c>
      <c r="G91" s="58">
        <v>15827</v>
      </c>
      <c r="H91" s="59" t="s">
        <v>333</v>
      </c>
      <c r="I91" s="57"/>
      <c r="J91" s="60"/>
      <c r="O91" s="5"/>
    </row>
    <row r="92" spans="1:15" x14ac:dyDescent="0.3">
      <c r="A92" s="51" t="s">
        <v>88</v>
      </c>
      <c r="B92" s="52" t="s">
        <v>324</v>
      </c>
      <c r="C92" s="52" t="s">
        <v>403</v>
      </c>
      <c r="D92" s="52">
        <v>302</v>
      </c>
      <c r="E92" s="52">
        <v>4890</v>
      </c>
      <c r="F92" s="52">
        <v>5738</v>
      </c>
      <c r="G92" s="53">
        <v>46643</v>
      </c>
      <c r="H92" s="54" t="s">
        <v>318</v>
      </c>
      <c r="I92" s="52"/>
      <c r="J92" s="55"/>
      <c r="O92" s="5"/>
    </row>
    <row r="93" spans="1:15" x14ac:dyDescent="0.3">
      <c r="A93" s="56" t="s">
        <v>89</v>
      </c>
      <c r="B93" s="57" t="s">
        <v>311</v>
      </c>
      <c r="C93" s="57" t="s">
        <v>404</v>
      </c>
      <c r="D93" s="57">
        <v>2214</v>
      </c>
      <c r="E93" s="57">
        <v>14800</v>
      </c>
      <c r="F93" s="57">
        <v>15498</v>
      </c>
      <c r="G93" s="58">
        <v>36484</v>
      </c>
      <c r="H93" s="59" t="s">
        <v>322</v>
      </c>
      <c r="I93" s="57"/>
      <c r="J93" s="60"/>
      <c r="O93" s="5"/>
    </row>
    <row r="94" spans="1:15" x14ac:dyDescent="0.3">
      <c r="A94" s="51" t="s">
        <v>90</v>
      </c>
      <c r="B94" s="52" t="s">
        <v>319</v>
      </c>
      <c r="C94" s="52" t="s">
        <v>405</v>
      </c>
      <c r="D94" s="52">
        <v>3861</v>
      </c>
      <c r="E94" s="52">
        <v>68817</v>
      </c>
      <c r="F94" s="52">
        <v>69498</v>
      </c>
      <c r="G94" s="53">
        <v>4996</v>
      </c>
      <c r="H94" s="54" t="s">
        <v>318</v>
      </c>
      <c r="I94" s="52"/>
      <c r="J94" s="55"/>
      <c r="O94" s="5"/>
    </row>
    <row r="95" spans="1:15" x14ac:dyDescent="0.3">
      <c r="A95" s="56" t="s">
        <v>91</v>
      </c>
      <c r="B95" s="57" t="s">
        <v>324</v>
      </c>
      <c r="C95" s="57" t="s">
        <v>406</v>
      </c>
      <c r="D95" s="57">
        <v>1263</v>
      </c>
      <c r="E95" s="57">
        <v>24615</v>
      </c>
      <c r="F95" s="57">
        <v>25260</v>
      </c>
      <c r="G95" s="58">
        <v>36095</v>
      </c>
      <c r="H95" s="59" t="s">
        <v>322</v>
      </c>
      <c r="I95" s="57"/>
      <c r="J95" s="60"/>
      <c r="O95" s="5"/>
    </row>
    <row r="96" spans="1:15" x14ac:dyDescent="0.3">
      <c r="A96" s="51" t="s">
        <v>92</v>
      </c>
      <c r="B96" s="52" t="s">
        <v>311</v>
      </c>
      <c r="C96" s="52" t="s">
        <v>378</v>
      </c>
      <c r="D96" s="52">
        <v>3801</v>
      </c>
      <c r="E96" s="52">
        <v>37625</v>
      </c>
      <c r="F96" s="52">
        <v>38010</v>
      </c>
      <c r="G96" s="53">
        <v>16443</v>
      </c>
      <c r="H96" s="54" t="s">
        <v>333</v>
      </c>
      <c r="I96" s="52"/>
      <c r="J96" s="55"/>
      <c r="O96" s="5"/>
    </row>
    <row r="97" spans="1:15" x14ac:dyDescent="0.3">
      <c r="A97" s="56" t="s">
        <v>93</v>
      </c>
      <c r="B97" s="57" t="s">
        <v>319</v>
      </c>
      <c r="C97" s="57" t="s">
        <v>407</v>
      </c>
      <c r="D97" s="57">
        <v>1431</v>
      </c>
      <c r="E97" s="57">
        <v>8396</v>
      </c>
      <c r="F97" s="57">
        <v>8586</v>
      </c>
      <c r="G97" s="58">
        <v>47812</v>
      </c>
      <c r="H97" s="59" t="s">
        <v>322</v>
      </c>
      <c r="I97" s="57"/>
      <c r="J97" s="60"/>
      <c r="O97" s="5"/>
    </row>
    <row r="98" spans="1:15" x14ac:dyDescent="0.3">
      <c r="A98" s="51" t="s">
        <v>94</v>
      </c>
      <c r="B98" s="52" t="s">
        <v>319</v>
      </c>
      <c r="C98" s="52" t="s">
        <v>395</v>
      </c>
      <c r="D98" s="52">
        <v>2647</v>
      </c>
      <c r="E98" s="52">
        <v>17841</v>
      </c>
      <c r="F98" s="52">
        <v>18529</v>
      </c>
      <c r="G98" s="53">
        <v>38452</v>
      </c>
      <c r="H98" s="54" t="s">
        <v>333</v>
      </c>
      <c r="I98" s="52"/>
      <c r="J98" s="55"/>
      <c r="O98" s="5"/>
    </row>
    <row r="99" spans="1:15" x14ac:dyDescent="0.3">
      <c r="A99" s="56" t="s">
        <v>95</v>
      </c>
      <c r="B99" s="57" t="s">
        <v>319</v>
      </c>
      <c r="C99" s="57" t="s">
        <v>408</v>
      </c>
      <c r="D99" s="57">
        <v>3182</v>
      </c>
      <c r="E99" s="57">
        <v>56890</v>
      </c>
      <c r="F99" s="57">
        <v>57276</v>
      </c>
      <c r="G99" s="58">
        <v>30428</v>
      </c>
      <c r="H99" s="59" t="s">
        <v>333</v>
      </c>
      <c r="I99" s="57"/>
      <c r="J99" s="60"/>
      <c r="O99" s="5"/>
    </row>
    <row r="100" spans="1:15" x14ac:dyDescent="0.3">
      <c r="A100" s="51" t="s">
        <v>96</v>
      </c>
      <c r="B100" s="52" t="s">
        <v>311</v>
      </c>
      <c r="C100" s="52" t="s">
        <v>409</v>
      </c>
      <c r="D100" s="52">
        <v>1238</v>
      </c>
      <c r="E100" s="52">
        <v>19334</v>
      </c>
      <c r="F100" s="52">
        <v>19808</v>
      </c>
      <c r="G100" s="53">
        <v>9269</v>
      </c>
      <c r="H100" s="54" t="s">
        <v>333</v>
      </c>
      <c r="I100" s="52"/>
      <c r="J100" s="55"/>
      <c r="O100" s="5"/>
    </row>
    <row r="101" spans="1:15" x14ac:dyDescent="0.3">
      <c r="A101" s="56" t="s">
        <v>97</v>
      </c>
      <c r="B101" s="57" t="s">
        <v>319</v>
      </c>
      <c r="C101" s="57" t="s">
        <v>410</v>
      </c>
      <c r="D101" s="57">
        <v>4739</v>
      </c>
      <c r="E101" s="57">
        <v>61333</v>
      </c>
      <c r="F101" s="57">
        <v>61607</v>
      </c>
      <c r="G101" s="58">
        <v>29533</v>
      </c>
      <c r="H101" s="59" t="s">
        <v>318</v>
      </c>
      <c r="I101" s="57" t="s">
        <v>523</v>
      </c>
      <c r="J101" s="60"/>
      <c r="O101" s="5"/>
    </row>
    <row r="102" spans="1:15" x14ac:dyDescent="0.3">
      <c r="A102" s="51" t="s">
        <v>98</v>
      </c>
      <c r="B102" s="52" t="s">
        <v>311</v>
      </c>
      <c r="C102" s="52" t="s">
        <v>371</v>
      </c>
      <c r="D102" s="52">
        <v>1575</v>
      </c>
      <c r="E102" s="52">
        <v>24826</v>
      </c>
      <c r="F102" s="52">
        <v>25200</v>
      </c>
      <c r="G102" s="53">
        <v>39997</v>
      </c>
      <c r="H102" s="54" t="s">
        <v>333</v>
      </c>
      <c r="I102" s="52"/>
      <c r="J102" s="55"/>
      <c r="O102" s="5"/>
    </row>
    <row r="103" spans="1:15" x14ac:dyDescent="0.3">
      <c r="A103" s="56" t="s">
        <v>99</v>
      </c>
      <c r="B103" s="57" t="s">
        <v>316</v>
      </c>
      <c r="C103" s="57" t="s">
        <v>411</v>
      </c>
      <c r="D103" s="57">
        <v>4171</v>
      </c>
      <c r="E103" s="57">
        <v>66634</v>
      </c>
      <c r="F103" s="57">
        <v>66736</v>
      </c>
      <c r="G103" s="58">
        <v>5391</v>
      </c>
      <c r="H103" s="59" t="s">
        <v>333</v>
      </c>
      <c r="I103" s="57"/>
      <c r="J103" s="60"/>
      <c r="O103" s="5"/>
    </row>
    <row r="104" spans="1:15" x14ac:dyDescent="0.3">
      <c r="A104" s="51" t="s">
        <v>100</v>
      </c>
      <c r="B104" s="52" t="s">
        <v>316</v>
      </c>
      <c r="C104" s="52" t="s">
        <v>412</v>
      </c>
      <c r="D104" s="52">
        <v>1766</v>
      </c>
      <c r="E104" s="52">
        <v>24333</v>
      </c>
      <c r="F104" s="52">
        <v>24724</v>
      </c>
      <c r="G104" s="53">
        <v>22373</v>
      </c>
      <c r="H104" s="54" t="s">
        <v>322</v>
      </c>
      <c r="I104" s="52"/>
      <c r="J104" s="55"/>
      <c r="O104" s="5"/>
    </row>
    <row r="105" spans="1:15" x14ac:dyDescent="0.3">
      <c r="A105" s="56" t="s">
        <v>101</v>
      </c>
      <c r="B105" s="57" t="s">
        <v>316</v>
      </c>
      <c r="C105" s="57" t="s">
        <v>392</v>
      </c>
      <c r="D105" s="57">
        <v>4450</v>
      </c>
      <c r="E105" s="57">
        <v>75008</v>
      </c>
      <c r="F105" s="57">
        <v>75650</v>
      </c>
      <c r="G105" s="58">
        <v>1810</v>
      </c>
      <c r="H105" s="59" t="s">
        <v>333</v>
      </c>
      <c r="I105" s="57"/>
      <c r="J105" s="60"/>
      <c r="O105" s="5"/>
    </row>
    <row r="106" spans="1:15" x14ac:dyDescent="0.3">
      <c r="A106" s="51" t="s">
        <v>102</v>
      </c>
      <c r="B106" s="52" t="s">
        <v>311</v>
      </c>
      <c r="C106" s="52" t="s">
        <v>413</v>
      </c>
      <c r="D106" s="52">
        <v>1000</v>
      </c>
      <c r="E106" s="52">
        <v>5221</v>
      </c>
      <c r="F106" s="52">
        <v>6000</v>
      </c>
      <c r="G106" s="53">
        <v>28498</v>
      </c>
      <c r="H106" s="54" t="s">
        <v>322</v>
      </c>
      <c r="I106" s="52"/>
      <c r="J106" s="55"/>
      <c r="O106" s="5"/>
    </row>
    <row r="107" spans="1:15" x14ac:dyDescent="0.3">
      <c r="A107" s="56" t="s">
        <v>103</v>
      </c>
      <c r="B107" s="57" t="s">
        <v>324</v>
      </c>
      <c r="C107" s="57" t="s">
        <v>414</v>
      </c>
      <c r="D107" s="57">
        <v>3689</v>
      </c>
      <c r="E107" s="57">
        <v>39588</v>
      </c>
      <c r="F107" s="57">
        <v>40579</v>
      </c>
      <c r="G107" s="58">
        <v>39530</v>
      </c>
      <c r="H107" s="59" t="s">
        <v>322</v>
      </c>
      <c r="I107" s="57"/>
      <c r="J107" s="60"/>
      <c r="O107" s="5"/>
    </row>
    <row r="108" spans="1:15" x14ac:dyDescent="0.3">
      <c r="A108" s="51" t="s">
        <v>104</v>
      </c>
      <c r="B108" s="52" t="s">
        <v>316</v>
      </c>
      <c r="C108" s="52" t="s">
        <v>415</v>
      </c>
      <c r="D108" s="52">
        <v>3655</v>
      </c>
      <c r="E108" s="52">
        <v>32015</v>
      </c>
      <c r="F108" s="52">
        <v>32895</v>
      </c>
      <c r="G108" s="53">
        <v>37876</v>
      </c>
      <c r="H108" s="54" t="s">
        <v>318</v>
      </c>
      <c r="I108" s="52"/>
      <c r="J108" s="55"/>
      <c r="O108" s="5"/>
    </row>
    <row r="109" spans="1:15" x14ac:dyDescent="0.3">
      <c r="A109" s="56" t="s">
        <v>105</v>
      </c>
      <c r="B109" s="57" t="s">
        <v>319</v>
      </c>
      <c r="C109" s="57" t="s">
        <v>416</v>
      </c>
      <c r="D109" s="57">
        <v>498</v>
      </c>
      <c r="E109" s="57">
        <v>3647</v>
      </c>
      <c r="F109" s="57">
        <v>4482</v>
      </c>
      <c r="G109" s="58">
        <v>36103</v>
      </c>
      <c r="H109" s="59" t="s">
        <v>333</v>
      </c>
      <c r="I109" s="57"/>
      <c r="J109" s="60"/>
      <c r="O109" s="5"/>
    </row>
    <row r="110" spans="1:15" x14ac:dyDescent="0.3">
      <c r="A110" s="51" t="s">
        <v>106</v>
      </c>
      <c r="B110" s="52" t="s">
        <v>319</v>
      </c>
      <c r="C110" s="52" t="s">
        <v>417</v>
      </c>
      <c r="D110" s="52">
        <v>4619</v>
      </c>
      <c r="E110" s="52">
        <v>69141</v>
      </c>
      <c r="F110" s="52">
        <v>69285</v>
      </c>
      <c r="G110" s="53">
        <v>26103</v>
      </c>
      <c r="H110" s="54" t="s">
        <v>318</v>
      </c>
      <c r="I110" s="52"/>
      <c r="J110" s="55"/>
      <c r="O110" s="5"/>
    </row>
    <row r="111" spans="1:15" x14ac:dyDescent="0.3">
      <c r="A111" s="56" t="s">
        <v>107</v>
      </c>
      <c r="B111" s="57" t="s">
        <v>316</v>
      </c>
      <c r="C111" s="57" t="s">
        <v>418</v>
      </c>
      <c r="D111" s="57">
        <v>4832</v>
      </c>
      <c r="E111" s="57">
        <v>91296</v>
      </c>
      <c r="F111" s="57">
        <v>91808</v>
      </c>
      <c r="G111" s="58">
        <v>3455</v>
      </c>
      <c r="H111" s="59" t="s">
        <v>318</v>
      </c>
      <c r="I111" s="57"/>
      <c r="J111" s="60"/>
      <c r="O111" s="5"/>
    </row>
    <row r="112" spans="1:15" x14ac:dyDescent="0.3">
      <c r="A112" s="51" t="s">
        <v>108</v>
      </c>
      <c r="B112" s="52" t="s">
        <v>311</v>
      </c>
      <c r="C112" s="52" t="s">
        <v>419</v>
      </c>
      <c r="D112" s="52">
        <v>4050</v>
      </c>
      <c r="E112" s="52">
        <v>51755</v>
      </c>
      <c r="F112" s="52">
        <v>52650</v>
      </c>
      <c r="G112" s="53">
        <v>40888</v>
      </c>
      <c r="H112" s="54" t="s">
        <v>318</v>
      </c>
      <c r="I112" s="52"/>
      <c r="J112" s="55"/>
      <c r="O112" s="5"/>
    </row>
    <row r="113" spans="1:15" x14ac:dyDescent="0.3">
      <c r="A113" s="56" t="s">
        <v>109</v>
      </c>
      <c r="B113" s="57" t="s">
        <v>311</v>
      </c>
      <c r="C113" s="57" t="s">
        <v>420</v>
      </c>
      <c r="D113" s="57">
        <v>3649</v>
      </c>
      <c r="E113" s="57">
        <v>24963</v>
      </c>
      <c r="F113" s="57">
        <v>25543</v>
      </c>
      <c r="G113" s="58">
        <v>22724</v>
      </c>
      <c r="H113" s="59" t="s">
        <v>333</v>
      </c>
      <c r="I113" s="57"/>
      <c r="J113" s="60"/>
      <c r="O113" s="5"/>
    </row>
    <row r="114" spans="1:15" x14ac:dyDescent="0.3">
      <c r="A114" s="51" t="s">
        <v>110</v>
      </c>
      <c r="B114" s="52" t="s">
        <v>319</v>
      </c>
      <c r="C114" s="52" t="s">
        <v>421</v>
      </c>
      <c r="D114" s="52">
        <v>3523</v>
      </c>
      <c r="E114" s="52">
        <v>38579</v>
      </c>
      <c r="F114" s="52">
        <v>38753</v>
      </c>
      <c r="G114" s="53">
        <v>18601</v>
      </c>
      <c r="H114" s="54" t="s">
        <v>322</v>
      </c>
      <c r="I114" s="52"/>
      <c r="J114" s="55"/>
      <c r="O114" s="5"/>
    </row>
    <row r="115" spans="1:15" x14ac:dyDescent="0.3">
      <c r="A115" s="56" t="s">
        <v>111</v>
      </c>
      <c r="B115" s="57" t="s">
        <v>316</v>
      </c>
      <c r="C115" s="57" t="s">
        <v>422</v>
      </c>
      <c r="D115" s="57">
        <v>2719</v>
      </c>
      <c r="E115" s="57">
        <v>40281</v>
      </c>
      <c r="F115" s="57">
        <v>40785</v>
      </c>
      <c r="G115" s="58">
        <v>20861</v>
      </c>
      <c r="H115" s="59" t="s">
        <v>318</v>
      </c>
      <c r="I115" s="57"/>
      <c r="J115" s="60"/>
      <c r="O115" s="5"/>
    </row>
    <row r="116" spans="1:15" x14ac:dyDescent="0.3">
      <c r="A116" s="51" t="s">
        <v>112</v>
      </c>
      <c r="B116" s="52" t="s">
        <v>311</v>
      </c>
      <c r="C116" s="52" t="s">
        <v>423</v>
      </c>
      <c r="D116" s="52">
        <v>1957</v>
      </c>
      <c r="E116" s="52">
        <v>16865</v>
      </c>
      <c r="F116" s="52">
        <v>17613</v>
      </c>
      <c r="G116" s="53">
        <v>46625</v>
      </c>
      <c r="H116" s="54" t="s">
        <v>333</v>
      </c>
      <c r="I116" s="52"/>
      <c r="J116" s="55"/>
      <c r="O116" s="5"/>
    </row>
    <row r="117" spans="1:15" x14ac:dyDescent="0.3">
      <c r="A117" s="56" t="s">
        <v>113</v>
      </c>
      <c r="B117" s="57" t="s">
        <v>311</v>
      </c>
      <c r="C117" s="57" t="s">
        <v>424</v>
      </c>
      <c r="D117" s="57">
        <v>4419</v>
      </c>
      <c r="E117" s="57">
        <v>43582</v>
      </c>
      <c r="F117" s="57">
        <v>44190</v>
      </c>
      <c r="G117" s="58">
        <v>20692</v>
      </c>
      <c r="H117" s="59" t="s">
        <v>322</v>
      </c>
      <c r="I117" s="57"/>
      <c r="J117" s="60"/>
      <c r="O117" s="5"/>
    </row>
    <row r="118" spans="1:15" x14ac:dyDescent="0.3">
      <c r="A118" s="51" t="s">
        <v>114</v>
      </c>
      <c r="B118" s="52" t="s">
        <v>311</v>
      </c>
      <c r="C118" s="52" t="s">
        <v>425</v>
      </c>
      <c r="D118" s="52">
        <v>4000</v>
      </c>
      <c r="E118" s="52">
        <v>39569</v>
      </c>
      <c r="F118" s="52">
        <v>40000</v>
      </c>
      <c r="G118" s="53">
        <v>18656</v>
      </c>
      <c r="H118" s="54" t="s">
        <v>333</v>
      </c>
      <c r="I118" s="52"/>
      <c r="J118" s="55"/>
      <c r="O118" s="5"/>
    </row>
    <row r="119" spans="1:15" x14ac:dyDescent="0.3">
      <c r="A119" s="56" t="s">
        <v>115</v>
      </c>
      <c r="B119" s="57" t="s">
        <v>311</v>
      </c>
      <c r="C119" s="57" t="s">
        <v>426</v>
      </c>
      <c r="D119" s="57">
        <v>2493</v>
      </c>
      <c r="E119" s="57">
        <v>41991</v>
      </c>
      <c r="F119" s="57">
        <v>42381</v>
      </c>
      <c r="G119" s="58">
        <v>13316</v>
      </c>
      <c r="H119" s="59" t="s">
        <v>318</v>
      </c>
      <c r="I119" s="57" t="s">
        <v>523</v>
      </c>
      <c r="J119" s="60"/>
      <c r="O119" s="5"/>
    </row>
    <row r="120" spans="1:15" x14ac:dyDescent="0.3">
      <c r="A120" s="51" t="s">
        <v>116</v>
      </c>
      <c r="B120" s="52" t="s">
        <v>316</v>
      </c>
      <c r="C120" s="52" t="s">
        <v>427</v>
      </c>
      <c r="D120" s="52">
        <v>3704</v>
      </c>
      <c r="E120" s="52">
        <v>25081</v>
      </c>
      <c r="F120" s="52">
        <v>25928</v>
      </c>
      <c r="G120" s="53">
        <v>49558</v>
      </c>
      <c r="H120" s="54" t="s">
        <v>318</v>
      </c>
      <c r="I120" s="52"/>
      <c r="J120" s="55"/>
      <c r="O120" s="5"/>
    </row>
    <row r="121" spans="1:15" x14ac:dyDescent="0.3">
      <c r="A121" s="56" t="s">
        <v>117</v>
      </c>
      <c r="B121" s="57" t="s">
        <v>311</v>
      </c>
      <c r="C121" s="57" t="s">
        <v>428</v>
      </c>
      <c r="D121" s="57">
        <v>1606</v>
      </c>
      <c r="E121" s="57">
        <v>20190</v>
      </c>
      <c r="F121" s="57">
        <v>20878</v>
      </c>
      <c r="G121" s="58">
        <v>4683</v>
      </c>
      <c r="H121" s="59" t="s">
        <v>322</v>
      </c>
      <c r="I121" s="57"/>
      <c r="J121" s="60"/>
      <c r="O121" s="5"/>
    </row>
    <row r="122" spans="1:15" x14ac:dyDescent="0.3">
      <c r="A122" s="51" t="s">
        <v>118</v>
      </c>
      <c r="B122" s="52" t="s">
        <v>324</v>
      </c>
      <c r="C122" s="52" t="s">
        <v>428</v>
      </c>
      <c r="D122" s="52">
        <v>4551</v>
      </c>
      <c r="E122" s="52">
        <v>67754</v>
      </c>
      <c r="F122" s="52">
        <v>68265</v>
      </c>
      <c r="G122" s="53">
        <v>47502</v>
      </c>
      <c r="H122" s="54" t="s">
        <v>333</v>
      </c>
      <c r="I122" s="52"/>
      <c r="J122" s="55"/>
      <c r="O122" s="5"/>
    </row>
    <row r="123" spans="1:15" x14ac:dyDescent="0.3">
      <c r="A123" s="56" t="s">
        <v>119</v>
      </c>
      <c r="B123" s="57" t="s">
        <v>319</v>
      </c>
      <c r="C123" s="57" t="s">
        <v>429</v>
      </c>
      <c r="D123" s="57">
        <v>1970</v>
      </c>
      <c r="E123" s="57">
        <v>8924</v>
      </c>
      <c r="F123" s="57">
        <v>9850</v>
      </c>
      <c r="G123" s="58">
        <v>35359</v>
      </c>
      <c r="H123" s="59" t="s">
        <v>333</v>
      </c>
      <c r="I123" s="57"/>
      <c r="J123" s="60"/>
      <c r="O123" s="5"/>
    </row>
    <row r="124" spans="1:15" x14ac:dyDescent="0.3">
      <c r="A124" s="51" t="s">
        <v>120</v>
      </c>
      <c r="B124" s="52" t="s">
        <v>324</v>
      </c>
      <c r="C124" s="52" t="s">
        <v>378</v>
      </c>
      <c r="D124" s="52">
        <v>780</v>
      </c>
      <c r="E124" s="52">
        <v>8081</v>
      </c>
      <c r="F124" s="52">
        <v>8580</v>
      </c>
      <c r="G124" s="53">
        <v>14154</v>
      </c>
      <c r="H124" s="54" t="s">
        <v>322</v>
      </c>
      <c r="I124" s="52"/>
      <c r="J124" s="55"/>
      <c r="O124" s="5"/>
    </row>
    <row r="125" spans="1:15" x14ac:dyDescent="0.3">
      <c r="A125" s="56" t="s">
        <v>121</v>
      </c>
      <c r="B125" s="57" t="s">
        <v>319</v>
      </c>
      <c r="C125" s="57" t="s">
        <v>421</v>
      </c>
      <c r="D125" s="57">
        <v>498</v>
      </c>
      <c r="E125" s="57">
        <v>4185</v>
      </c>
      <c r="F125" s="57">
        <v>4980</v>
      </c>
      <c r="G125" s="58">
        <v>4313</v>
      </c>
      <c r="H125" s="59" t="s">
        <v>333</v>
      </c>
      <c r="I125" s="57"/>
      <c r="J125" s="60"/>
      <c r="O125" s="5"/>
    </row>
    <row r="126" spans="1:15" x14ac:dyDescent="0.3">
      <c r="A126" s="51" t="s">
        <v>122</v>
      </c>
      <c r="B126" s="52" t="s">
        <v>319</v>
      </c>
      <c r="C126" s="52" t="s">
        <v>424</v>
      </c>
      <c r="D126" s="52">
        <v>3432</v>
      </c>
      <c r="E126" s="52">
        <v>53916</v>
      </c>
      <c r="F126" s="52">
        <v>54912</v>
      </c>
      <c r="G126" s="53">
        <v>25140</v>
      </c>
      <c r="H126" s="54" t="s">
        <v>322</v>
      </c>
      <c r="I126" s="52"/>
      <c r="J126" s="55"/>
      <c r="O126" s="5"/>
    </row>
    <row r="127" spans="1:15" x14ac:dyDescent="0.3">
      <c r="A127" s="56" t="s">
        <v>123</v>
      </c>
      <c r="B127" s="57" t="s">
        <v>319</v>
      </c>
      <c r="C127" s="57" t="s">
        <v>416</v>
      </c>
      <c r="D127" s="57">
        <v>4363</v>
      </c>
      <c r="E127" s="57">
        <v>21481</v>
      </c>
      <c r="F127" s="57">
        <v>21815</v>
      </c>
      <c r="G127" s="58">
        <v>9118</v>
      </c>
      <c r="H127" s="59" t="s">
        <v>322</v>
      </c>
      <c r="I127" s="57"/>
      <c r="J127" s="60"/>
      <c r="O127" s="5"/>
    </row>
    <row r="128" spans="1:15" x14ac:dyDescent="0.3">
      <c r="A128" s="51" t="s">
        <v>124</v>
      </c>
      <c r="B128" s="52" t="s">
        <v>316</v>
      </c>
      <c r="C128" s="52" t="s">
        <v>430</v>
      </c>
      <c r="D128" s="52">
        <v>736</v>
      </c>
      <c r="E128" s="52">
        <v>4706</v>
      </c>
      <c r="F128" s="52">
        <v>5152</v>
      </c>
      <c r="G128" s="53">
        <v>39931</v>
      </c>
      <c r="H128" s="54" t="s">
        <v>322</v>
      </c>
      <c r="I128" s="52"/>
      <c r="J128" s="55"/>
      <c r="O128" s="5"/>
    </row>
    <row r="129" spans="1:15" x14ac:dyDescent="0.3">
      <c r="A129" s="56" t="s">
        <v>125</v>
      </c>
      <c r="B129" s="57" t="s">
        <v>311</v>
      </c>
      <c r="C129" s="57" t="s">
        <v>431</v>
      </c>
      <c r="D129" s="57">
        <v>3811</v>
      </c>
      <c r="E129" s="57">
        <v>34088</v>
      </c>
      <c r="F129" s="57">
        <v>34299</v>
      </c>
      <c r="G129" s="58">
        <v>37132</v>
      </c>
      <c r="H129" s="59" t="s">
        <v>318</v>
      </c>
      <c r="I129" s="57"/>
      <c r="J129" s="60"/>
      <c r="O129" s="5"/>
    </row>
    <row r="130" spans="1:15" x14ac:dyDescent="0.3">
      <c r="A130" s="51" t="s">
        <v>126</v>
      </c>
      <c r="B130" s="52" t="s">
        <v>319</v>
      </c>
      <c r="C130" s="52" t="s">
        <v>385</v>
      </c>
      <c r="D130" s="52">
        <v>4158</v>
      </c>
      <c r="E130" s="52">
        <v>45183</v>
      </c>
      <c r="F130" s="52">
        <v>45738</v>
      </c>
      <c r="G130" s="53">
        <v>17951</v>
      </c>
      <c r="H130" s="54" t="s">
        <v>333</v>
      </c>
      <c r="I130" s="52"/>
      <c r="J130" s="55"/>
      <c r="O130" s="5"/>
    </row>
    <row r="131" spans="1:15" x14ac:dyDescent="0.3">
      <c r="A131" s="56" t="s">
        <v>127</v>
      </c>
      <c r="B131" s="57" t="s">
        <v>324</v>
      </c>
      <c r="C131" s="57" t="s">
        <v>401</v>
      </c>
      <c r="D131" s="57">
        <v>3452</v>
      </c>
      <c r="E131" s="57">
        <v>65049</v>
      </c>
      <c r="F131" s="57">
        <v>65588</v>
      </c>
      <c r="G131" s="58">
        <v>2798</v>
      </c>
      <c r="H131" s="59" t="s">
        <v>333</v>
      </c>
      <c r="I131" s="57"/>
      <c r="J131" s="60"/>
      <c r="O131" s="5"/>
    </row>
    <row r="132" spans="1:15" x14ac:dyDescent="0.3">
      <c r="A132" s="51" t="s">
        <v>128</v>
      </c>
      <c r="B132" s="52" t="s">
        <v>311</v>
      </c>
      <c r="C132" s="52" t="s">
        <v>404</v>
      </c>
      <c r="D132" s="52">
        <v>3092</v>
      </c>
      <c r="E132" s="52">
        <v>27217</v>
      </c>
      <c r="F132" s="52">
        <v>27828</v>
      </c>
      <c r="G132" s="53">
        <v>15045</v>
      </c>
      <c r="H132" s="54" t="s">
        <v>333</v>
      </c>
      <c r="I132" s="52"/>
      <c r="J132" s="55"/>
      <c r="O132" s="5"/>
    </row>
    <row r="133" spans="1:15" x14ac:dyDescent="0.3">
      <c r="A133" s="56" t="s">
        <v>129</v>
      </c>
      <c r="B133" s="57" t="s">
        <v>311</v>
      </c>
      <c r="C133" s="57" t="s">
        <v>334</v>
      </c>
      <c r="D133" s="57">
        <v>2147</v>
      </c>
      <c r="E133" s="57">
        <v>16483</v>
      </c>
      <c r="F133" s="57">
        <v>17176</v>
      </c>
      <c r="G133" s="58">
        <v>14548</v>
      </c>
      <c r="H133" s="59" t="s">
        <v>318</v>
      </c>
      <c r="I133" s="57"/>
      <c r="J133" s="60"/>
      <c r="O133" s="5"/>
    </row>
    <row r="134" spans="1:15" x14ac:dyDescent="0.3">
      <c r="A134" s="51" t="s">
        <v>130</v>
      </c>
      <c r="B134" s="52" t="s">
        <v>316</v>
      </c>
      <c r="C134" s="52" t="s">
        <v>432</v>
      </c>
      <c r="D134" s="52">
        <v>2936</v>
      </c>
      <c r="E134" s="52">
        <v>37571</v>
      </c>
      <c r="F134" s="52">
        <v>38168</v>
      </c>
      <c r="G134" s="53">
        <v>45708</v>
      </c>
      <c r="H134" s="54" t="s">
        <v>322</v>
      </c>
      <c r="I134" s="52"/>
      <c r="J134" s="55"/>
      <c r="O134" s="5"/>
    </row>
    <row r="135" spans="1:15" x14ac:dyDescent="0.3">
      <c r="A135" s="56" t="s">
        <v>131</v>
      </c>
      <c r="B135" s="57" t="s">
        <v>319</v>
      </c>
      <c r="C135" s="57" t="s">
        <v>378</v>
      </c>
      <c r="D135" s="57">
        <v>4840</v>
      </c>
      <c r="E135" s="57">
        <v>43225</v>
      </c>
      <c r="F135" s="57">
        <v>43560</v>
      </c>
      <c r="G135" s="58">
        <v>12350</v>
      </c>
      <c r="H135" s="59" t="s">
        <v>333</v>
      </c>
      <c r="I135" s="57"/>
      <c r="J135" s="60"/>
      <c r="O135" s="5"/>
    </row>
    <row r="136" spans="1:15" x14ac:dyDescent="0.3">
      <c r="A136" s="51" t="s">
        <v>132</v>
      </c>
      <c r="B136" s="52" t="s">
        <v>319</v>
      </c>
      <c r="C136" s="52" t="s">
        <v>351</v>
      </c>
      <c r="D136" s="52">
        <v>1947</v>
      </c>
      <c r="E136" s="52">
        <v>20967</v>
      </c>
      <c r="F136" s="52">
        <v>21417</v>
      </c>
      <c r="G136" s="53">
        <v>40868</v>
      </c>
      <c r="H136" s="54" t="s">
        <v>333</v>
      </c>
      <c r="I136" s="52"/>
      <c r="J136" s="55"/>
      <c r="O136" s="5"/>
    </row>
    <row r="137" spans="1:15" x14ac:dyDescent="0.3">
      <c r="A137" s="56" t="s">
        <v>133</v>
      </c>
      <c r="B137" s="57" t="s">
        <v>324</v>
      </c>
      <c r="C137" s="57" t="s">
        <v>433</v>
      </c>
      <c r="D137" s="57">
        <v>2072</v>
      </c>
      <c r="E137" s="57">
        <v>36467</v>
      </c>
      <c r="F137" s="57">
        <v>37296</v>
      </c>
      <c r="G137" s="58">
        <v>43122</v>
      </c>
      <c r="H137" s="59" t="s">
        <v>318</v>
      </c>
      <c r="I137" s="57"/>
      <c r="J137" s="60"/>
      <c r="O137" s="5"/>
    </row>
    <row r="138" spans="1:15" x14ac:dyDescent="0.3">
      <c r="A138" s="51" t="s">
        <v>134</v>
      </c>
      <c r="B138" s="52" t="s">
        <v>311</v>
      </c>
      <c r="C138" s="52" t="s">
        <v>434</v>
      </c>
      <c r="D138" s="52">
        <v>3731</v>
      </c>
      <c r="E138" s="52">
        <v>55436</v>
      </c>
      <c r="F138" s="52">
        <v>55965</v>
      </c>
      <c r="G138" s="53">
        <v>23853</v>
      </c>
      <c r="H138" s="54" t="s">
        <v>318</v>
      </c>
      <c r="I138" s="52"/>
      <c r="J138" s="55"/>
      <c r="O138" s="5"/>
    </row>
    <row r="139" spans="1:15" x14ac:dyDescent="0.3">
      <c r="A139" s="56" t="s">
        <v>135</v>
      </c>
      <c r="B139" s="57" t="s">
        <v>324</v>
      </c>
      <c r="C139" s="57" t="s">
        <v>435</v>
      </c>
      <c r="D139" s="57">
        <v>4213</v>
      </c>
      <c r="E139" s="57">
        <v>75437</v>
      </c>
      <c r="F139" s="57">
        <v>75834</v>
      </c>
      <c r="G139" s="58">
        <v>45380</v>
      </c>
      <c r="H139" s="59" t="s">
        <v>333</v>
      </c>
      <c r="I139" s="57"/>
      <c r="J139" s="60"/>
      <c r="O139" s="5"/>
    </row>
    <row r="140" spans="1:15" x14ac:dyDescent="0.3">
      <c r="A140" s="51" t="s">
        <v>136</v>
      </c>
      <c r="B140" s="52" t="s">
        <v>319</v>
      </c>
      <c r="C140" s="52" t="s">
        <v>436</v>
      </c>
      <c r="D140" s="52">
        <v>3134</v>
      </c>
      <c r="E140" s="52">
        <v>21337</v>
      </c>
      <c r="F140" s="52">
        <v>21938</v>
      </c>
      <c r="G140" s="53">
        <v>7705</v>
      </c>
      <c r="H140" s="54" t="s">
        <v>322</v>
      </c>
      <c r="I140" s="52"/>
      <c r="J140" s="55"/>
      <c r="O140" s="5"/>
    </row>
    <row r="141" spans="1:15" x14ac:dyDescent="0.3">
      <c r="A141" s="56" t="s">
        <v>137</v>
      </c>
      <c r="B141" s="57" t="s">
        <v>324</v>
      </c>
      <c r="C141" s="57" t="s">
        <v>355</v>
      </c>
      <c r="D141" s="57">
        <v>3008</v>
      </c>
      <c r="E141" s="57">
        <v>14639</v>
      </c>
      <c r="F141" s="57">
        <v>15040</v>
      </c>
      <c r="G141" s="58">
        <v>25525</v>
      </c>
      <c r="H141" s="59" t="s">
        <v>333</v>
      </c>
      <c r="I141" s="57"/>
      <c r="J141" s="60"/>
      <c r="O141" s="5"/>
    </row>
    <row r="142" spans="1:15" x14ac:dyDescent="0.3">
      <c r="A142" s="51" t="s">
        <v>138</v>
      </c>
      <c r="B142" s="52" t="s">
        <v>311</v>
      </c>
      <c r="C142" s="52" t="s">
        <v>387</v>
      </c>
      <c r="D142" s="52">
        <v>305</v>
      </c>
      <c r="E142" s="52">
        <v>3704</v>
      </c>
      <c r="F142" s="52">
        <v>4575</v>
      </c>
      <c r="G142" s="53">
        <v>20560</v>
      </c>
      <c r="H142" s="54" t="s">
        <v>333</v>
      </c>
      <c r="I142" s="52"/>
      <c r="J142" s="55"/>
      <c r="O142" s="5"/>
    </row>
    <row r="143" spans="1:15" x14ac:dyDescent="0.3">
      <c r="A143" s="56" t="s">
        <v>139</v>
      </c>
      <c r="B143" s="57" t="s">
        <v>316</v>
      </c>
      <c r="C143" s="57" t="s">
        <v>437</v>
      </c>
      <c r="D143" s="57">
        <v>2746</v>
      </c>
      <c r="E143" s="57">
        <v>32147</v>
      </c>
      <c r="F143" s="57">
        <v>32952</v>
      </c>
      <c r="G143" s="58">
        <v>19119</v>
      </c>
      <c r="H143" s="59" t="s">
        <v>322</v>
      </c>
      <c r="I143" s="57"/>
      <c r="J143" s="60"/>
      <c r="O143" s="5"/>
    </row>
    <row r="144" spans="1:15" x14ac:dyDescent="0.3">
      <c r="A144" s="51" t="s">
        <v>140</v>
      </c>
      <c r="B144" s="52" t="s">
        <v>324</v>
      </c>
      <c r="C144" s="52" t="s">
        <v>438</v>
      </c>
      <c r="D144" s="52">
        <v>2291</v>
      </c>
      <c r="E144" s="52">
        <v>18101</v>
      </c>
      <c r="F144" s="52">
        <v>18328</v>
      </c>
      <c r="G144" s="53">
        <v>43999</v>
      </c>
      <c r="H144" s="54" t="s">
        <v>322</v>
      </c>
      <c r="I144" s="52" t="s">
        <v>525</v>
      </c>
      <c r="J144" s="55"/>
      <c r="O144" s="5"/>
    </row>
    <row r="145" spans="1:15" x14ac:dyDescent="0.3">
      <c r="A145" s="56" t="s">
        <v>141</v>
      </c>
      <c r="B145" s="57" t="s">
        <v>311</v>
      </c>
      <c r="C145" s="57" t="s">
        <v>439</v>
      </c>
      <c r="D145" s="57">
        <v>3170</v>
      </c>
      <c r="E145" s="57">
        <v>18559</v>
      </c>
      <c r="F145" s="57">
        <v>19020</v>
      </c>
      <c r="G145" s="58">
        <v>10825</v>
      </c>
      <c r="H145" s="59" t="s">
        <v>333</v>
      </c>
      <c r="I145" s="57"/>
      <c r="J145" s="60"/>
      <c r="O145" s="5"/>
    </row>
    <row r="146" spans="1:15" x14ac:dyDescent="0.3">
      <c r="A146" s="51" t="s">
        <v>142</v>
      </c>
      <c r="B146" s="52" t="s">
        <v>316</v>
      </c>
      <c r="C146" s="52" t="s">
        <v>419</v>
      </c>
      <c r="D146" s="52">
        <v>2070</v>
      </c>
      <c r="E146" s="52">
        <v>38627</v>
      </c>
      <c r="F146" s="52">
        <v>39330</v>
      </c>
      <c r="G146" s="53">
        <v>40323</v>
      </c>
      <c r="H146" s="54" t="s">
        <v>333</v>
      </c>
      <c r="I146" s="52"/>
      <c r="J146" s="55"/>
      <c r="O146" s="5"/>
    </row>
    <row r="147" spans="1:15" x14ac:dyDescent="0.3">
      <c r="A147" s="56" t="s">
        <v>143</v>
      </c>
      <c r="B147" s="57" t="s">
        <v>316</v>
      </c>
      <c r="C147" s="57" t="s">
        <v>424</v>
      </c>
      <c r="D147" s="57">
        <v>80</v>
      </c>
      <c r="E147" s="57">
        <v>349</v>
      </c>
      <c r="F147" s="57">
        <v>1040</v>
      </c>
      <c r="G147" s="58">
        <v>48270</v>
      </c>
      <c r="H147" s="59" t="s">
        <v>318</v>
      </c>
      <c r="I147" s="57"/>
      <c r="J147" s="60"/>
      <c r="O147" s="5"/>
    </row>
    <row r="148" spans="1:15" x14ac:dyDescent="0.3">
      <c r="A148" s="51" t="s">
        <v>144</v>
      </c>
      <c r="B148" s="52" t="s">
        <v>316</v>
      </c>
      <c r="C148" s="52" t="s">
        <v>393</v>
      </c>
      <c r="D148" s="52">
        <v>4929</v>
      </c>
      <c r="E148" s="52">
        <v>92810</v>
      </c>
      <c r="F148" s="52">
        <v>93651</v>
      </c>
      <c r="G148" s="53">
        <v>18001</v>
      </c>
      <c r="H148" s="54" t="s">
        <v>322</v>
      </c>
      <c r="I148" s="52"/>
      <c r="J148" s="55"/>
      <c r="O148" s="5"/>
    </row>
    <row r="149" spans="1:15" x14ac:dyDescent="0.3">
      <c r="A149" s="56" t="s">
        <v>145</v>
      </c>
      <c r="B149" s="57" t="s">
        <v>319</v>
      </c>
      <c r="C149" s="57" t="s">
        <v>320</v>
      </c>
      <c r="D149" s="57">
        <v>1878</v>
      </c>
      <c r="E149" s="57">
        <v>36874</v>
      </c>
      <c r="F149" s="57">
        <v>37560</v>
      </c>
      <c r="G149" s="58">
        <v>3314</v>
      </c>
      <c r="H149" s="59" t="s">
        <v>318</v>
      </c>
      <c r="I149" s="57"/>
      <c r="J149" s="60"/>
      <c r="O149" s="5"/>
    </row>
    <row r="150" spans="1:15" x14ac:dyDescent="0.3">
      <c r="A150" s="51" t="s">
        <v>146</v>
      </c>
      <c r="B150" s="52" t="s">
        <v>316</v>
      </c>
      <c r="C150" s="52" t="s">
        <v>440</v>
      </c>
      <c r="D150" s="52">
        <v>3065</v>
      </c>
      <c r="E150" s="52">
        <v>17875</v>
      </c>
      <c r="F150" s="52">
        <v>18390</v>
      </c>
      <c r="G150" s="53">
        <v>23489</v>
      </c>
      <c r="H150" s="54" t="s">
        <v>322</v>
      </c>
      <c r="I150" s="52" t="s">
        <v>523</v>
      </c>
      <c r="J150" s="55"/>
      <c r="O150" s="5"/>
    </row>
    <row r="151" spans="1:15" x14ac:dyDescent="0.3">
      <c r="A151" s="56" t="s">
        <v>147</v>
      </c>
      <c r="B151" s="57" t="s">
        <v>319</v>
      </c>
      <c r="C151" s="57" t="s">
        <v>378</v>
      </c>
      <c r="D151" s="57">
        <v>3256</v>
      </c>
      <c r="E151" s="57">
        <v>25529</v>
      </c>
      <c r="F151" s="57">
        <v>26048</v>
      </c>
      <c r="G151" s="58">
        <v>42832</v>
      </c>
      <c r="H151" s="59" t="s">
        <v>318</v>
      </c>
      <c r="I151" s="57"/>
      <c r="J151" s="60"/>
      <c r="O151" s="5"/>
    </row>
    <row r="152" spans="1:15" x14ac:dyDescent="0.3">
      <c r="A152" s="51" t="s">
        <v>148</v>
      </c>
      <c r="B152" s="52" t="s">
        <v>319</v>
      </c>
      <c r="C152" s="52" t="s">
        <v>379</v>
      </c>
      <c r="D152" s="52">
        <v>4133</v>
      </c>
      <c r="E152" s="52">
        <v>24620</v>
      </c>
      <c r="F152" s="52">
        <v>24798</v>
      </c>
      <c r="G152" s="53">
        <v>24494</v>
      </c>
      <c r="H152" s="54" t="s">
        <v>322</v>
      </c>
      <c r="I152" s="52"/>
      <c r="J152" s="55"/>
      <c r="O152" s="5"/>
    </row>
    <row r="153" spans="1:15" x14ac:dyDescent="0.3">
      <c r="A153" s="56" t="s">
        <v>149</v>
      </c>
      <c r="B153" s="57" t="s">
        <v>311</v>
      </c>
      <c r="C153" s="57" t="s">
        <v>441</v>
      </c>
      <c r="D153" s="57">
        <v>1702</v>
      </c>
      <c r="E153" s="57">
        <v>33174</v>
      </c>
      <c r="F153" s="57">
        <v>34040</v>
      </c>
      <c r="G153" s="58">
        <v>44097</v>
      </c>
      <c r="H153" s="59" t="s">
        <v>322</v>
      </c>
      <c r="I153" s="57"/>
      <c r="J153" s="60"/>
      <c r="O153" s="5"/>
    </row>
    <row r="154" spans="1:15" x14ac:dyDescent="0.3">
      <c r="A154" s="51" t="s">
        <v>150</v>
      </c>
      <c r="B154" s="52" t="s">
        <v>316</v>
      </c>
      <c r="C154" s="52" t="s">
        <v>442</v>
      </c>
      <c r="D154" s="52">
        <v>4295</v>
      </c>
      <c r="E154" s="52">
        <v>85788</v>
      </c>
      <c r="F154" s="52">
        <v>85900</v>
      </c>
      <c r="G154" s="53">
        <v>31853</v>
      </c>
      <c r="H154" s="54" t="s">
        <v>318</v>
      </c>
      <c r="I154" s="52"/>
      <c r="J154" s="55"/>
      <c r="O154" s="5"/>
    </row>
    <row r="155" spans="1:15" x14ac:dyDescent="0.3">
      <c r="A155" s="56" t="s">
        <v>151</v>
      </c>
      <c r="B155" s="57" t="s">
        <v>319</v>
      </c>
      <c r="C155" s="57" t="s">
        <v>386</v>
      </c>
      <c r="D155" s="57">
        <v>3559</v>
      </c>
      <c r="E155" s="57">
        <v>35105</v>
      </c>
      <c r="F155" s="57">
        <v>35590</v>
      </c>
      <c r="G155" s="58">
        <v>37636</v>
      </c>
      <c r="H155" s="59" t="s">
        <v>322</v>
      </c>
      <c r="I155" s="57"/>
      <c r="J155" s="60"/>
      <c r="O155" s="5"/>
    </row>
    <row r="156" spans="1:15" x14ac:dyDescent="0.3">
      <c r="A156" s="51" t="s">
        <v>152</v>
      </c>
      <c r="B156" s="52" t="s">
        <v>324</v>
      </c>
      <c r="C156" s="52" t="s">
        <v>443</v>
      </c>
      <c r="D156" s="52">
        <v>4804</v>
      </c>
      <c r="E156" s="52">
        <v>28370</v>
      </c>
      <c r="F156" s="52">
        <v>28824</v>
      </c>
      <c r="G156" s="53">
        <v>22996</v>
      </c>
      <c r="H156" s="54" t="s">
        <v>322</v>
      </c>
      <c r="I156" s="52"/>
      <c r="J156" s="55"/>
      <c r="O156" s="5"/>
    </row>
    <row r="157" spans="1:15" x14ac:dyDescent="0.3">
      <c r="A157" s="56" t="s">
        <v>153</v>
      </c>
      <c r="B157" s="57" t="s">
        <v>311</v>
      </c>
      <c r="C157" s="57" t="s">
        <v>444</v>
      </c>
      <c r="D157" s="57">
        <v>754</v>
      </c>
      <c r="E157" s="57">
        <v>6221</v>
      </c>
      <c r="F157" s="57">
        <v>6786</v>
      </c>
      <c r="G157" s="58">
        <v>49772</v>
      </c>
      <c r="H157" s="59" t="s">
        <v>318</v>
      </c>
      <c r="I157" s="57"/>
      <c r="J157" s="60"/>
      <c r="O157" s="5"/>
    </row>
    <row r="158" spans="1:15" x14ac:dyDescent="0.3">
      <c r="A158" s="51" t="s">
        <v>154</v>
      </c>
      <c r="B158" s="52" t="s">
        <v>319</v>
      </c>
      <c r="C158" s="52" t="s">
        <v>396</v>
      </c>
      <c r="D158" s="52">
        <v>985</v>
      </c>
      <c r="E158" s="52">
        <v>6757</v>
      </c>
      <c r="F158" s="52">
        <v>6895</v>
      </c>
      <c r="G158" s="53">
        <v>22713</v>
      </c>
      <c r="H158" s="54" t="s">
        <v>333</v>
      </c>
      <c r="I158" s="52"/>
      <c r="J158" s="55"/>
      <c r="O158" s="5"/>
    </row>
    <row r="159" spans="1:15" x14ac:dyDescent="0.3">
      <c r="A159" s="56" t="s">
        <v>155</v>
      </c>
      <c r="B159" s="57" t="s">
        <v>316</v>
      </c>
      <c r="C159" s="57" t="s">
        <v>445</v>
      </c>
      <c r="D159" s="57">
        <v>2283</v>
      </c>
      <c r="E159" s="57">
        <v>22617</v>
      </c>
      <c r="F159" s="57">
        <v>22830</v>
      </c>
      <c r="G159" s="58">
        <v>8718</v>
      </c>
      <c r="H159" s="59" t="s">
        <v>333</v>
      </c>
      <c r="I159" s="57"/>
      <c r="J159" s="60"/>
      <c r="O159" s="5"/>
    </row>
    <row r="160" spans="1:15" x14ac:dyDescent="0.3">
      <c r="A160" s="51" t="s">
        <v>156</v>
      </c>
      <c r="B160" s="52" t="s">
        <v>324</v>
      </c>
      <c r="C160" s="52" t="s">
        <v>446</v>
      </c>
      <c r="D160" s="52">
        <v>3352</v>
      </c>
      <c r="E160" s="52">
        <v>43338</v>
      </c>
      <c r="F160" s="52">
        <v>43576</v>
      </c>
      <c r="G160" s="53">
        <v>39031</v>
      </c>
      <c r="H160" s="54" t="s">
        <v>333</v>
      </c>
      <c r="I160" s="52"/>
      <c r="J160" s="55"/>
      <c r="O160" s="5"/>
    </row>
    <row r="161" spans="1:15" x14ac:dyDescent="0.3">
      <c r="A161" s="56" t="s">
        <v>157</v>
      </c>
      <c r="B161" s="57" t="s">
        <v>316</v>
      </c>
      <c r="C161" s="57" t="s">
        <v>447</v>
      </c>
      <c r="D161" s="57">
        <v>4775</v>
      </c>
      <c r="E161" s="57">
        <v>47544</v>
      </c>
      <c r="F161" s="57">
        <v>47750</v>
      </c>
      <c r="G161" s="58">
        <v>33799</v>
      </c>
      <c r="H161" s="59" t="s">
        <v>333</v>
      </c>
      <c r="I161" s="57"/>
      <c r="J161" s="60"/>
      <c r="O161" s="5"/>
    </row>
    <row r="162" spans="1:15" x14ac:dyDescent="0.3">
      <c r="A162" s="51" t="s">
        <v>158</v>
      </c>
      <c r="B162" s="52" t="s">
        <v>319</v>
      </c>
      <c r="C162" s="52" t="s">
        <v>448</v>
      </c>
      <c r="D162" s="52">
        <v>1762</v>
      </c>
      <c r="E162" s="52">
        <v>21925</v>
      </c>
      <c r="F162" s="52">
        <v>22906</v>
      </c>
      <c r="G162" s="53">
        <v>20553</v>
      </c>
      <c r="H162" s="54" t="s">
        <v>318</v>
      </c>
      <c r="I162" s="52"/>
      <c r="J162" s="55"/>
      <c r="O162" s="5"/>
    </row>
    <row r="163" spans="1:15" x14ac:dyDescent="0.3">
      <c r="A163" s="56" t="s">
        <v>159</v>
      </c>
      <c r="B163" s="57" t="s">
        <v>324</v>
      </c>
      <c r="C163" s="57" t="s">
        <v>362</v>
      </c>
      <c r="D163" s="57">
        <v>2120</v>
      </c>
      <c r="E163" s="57">
        <v>12085</v>
      </c>
      <c r="F163" s="57">
        <v>12720</v>
      </c>
      <c r="G163" s="58">
        <v>10002</v>
      </c>
      <c r="H163" s="59" t="s">
        <v>333</v>
      </c>
      <c r="I163" s="57"/>
      <c r="J163" s="60"/>
      <c r="O163" s="5"/>
    </row>
    <row r="164" spans="1:15" x14ac:dyDescent="0.3">
      <c r="A164" s="51" t="s">
        <v>160</v>
      </c>
      <c r="B164" s="52" t="s">
        <v>311</v>
      </c>
      <c r="C164" s="52" t="s">
        <v>449</v>
      </c>
      <c r="D164" s="52">
        <v>1082</v>
      </c>
      <c r="E164" s="52">
        <v>18654</v>
      </c>
      <c r="F164" s="52">
        <v>19476</v>
      </c>
      <c r="G164" s="53">
        <v>30987</v>
      </c>
      <c r="H164" s="54" t="s">
        <v>318</v>
      </c>
      <c r="I164" s="52"/>
      <c r="J164" s="55"/>
      <c r="O164" s="5"/>
    </row>
    <row r="165" spans="1:15" x14ac:dyDescent="0.3">
      <c r="A165" s="56" t="s">
        <v>161</v>
      </c>
      <c r="B165" s="57" t="s">
        <v>311</v>
      </c>
      <c r="C165" s="57" t="s">
        <v>450</v>
      </c>
      <c r="D165" s="57">
        <v>4671</v>
      </c>
      <c r="E165" s="57">
        <v>50565</v>
      </c>
      <c r="F165" s="57">
        <v>51381</v>
      </c>
      <c r="G165" s="58">
        <v>6296</v>
      </c>
      <c r="H165" s="59" t="s">
        <v>318</v>
      </c>
      <c r="I165" s="57"/>
      <c r="J165" s="60"/>
      <c r="O165" s="5"/>
    </row>
    <row r="166" spans="1:15" x14ac:dyDescent="0.3">
      <c r="A166" s="51" t="s">
        <v>162</v>
      </c>
      <c r="B166" s="52" t="s">
        <v>324</v>
      </c>
      <c r="C166" s="52" t="s">
        <v>451</v>
      </c>
      <c r="D166" s="52">
        <v>3430</v>
      </c>
      <c r="E166" s="52">
        <v>47305</v>
      </c>
      <c r="F166" s="52">
        <v>48020</v>
      </c>
      <c r="G166" s="53">
        <v>21539</v>
      </c>
      <c r="H166" s="54" t="s">
        <v>333</v>
      </c>
      <c r="I166" s="52"/>
      <c r="J166" s="55"/>
      <c r="O166" s="5"/>
    </row>
    <row r="167" spans="1:15" x14ac:dyDescent="0.3">
      <c r="A167" s="56" t="s">
        <v>163</v>
      </c>
      <c r="B167" s="57" t="s">
        <v>319</v>
      </c>
      <c r="C167" s="57" t="s">
        <v>452</v>
      </c>
      <c r="D167" s="57">
        <v>4501</v>
      </c>
      <c r="E167" s="57">
        <v>21836</v>
      </c>
      <c r="F167" s="57">
        <v>22505</v>
      </c>
      <c r="G167" s="58">
        <v>14722</v>
      </c>
      <c r="H167" s="59" t="s">
        <v>318</v>
      </c>
      <c r="I167" s="57"/>
      <c r="J167" s="60"/>
      <c r="O167" s="5"/>
    </row>
    <row r="168" spans="1:15" x14ac:dyDescent="0.3">
      <c r="A168" s="51" t="s">
        <v>164</v>
      </c>
      <c r="B168" s="52" t="s">
        <v>316</v>
      </c>
      <c r="C168" s="52" t="s">
        <v>345</v>
      </c>
      <c r="D168" s="52">
        <v>4934</v>
      </c>
      <c r="E168" s="52">
        <v>39025</v>
      </c>
      <c r="F168" s="52">
        <v>39472</v>
      </c>
      <c r="G168" s="53">
        <v>11383</v>
      </c>
      <c r="H168" s="54" t="s">
        <v>318</v>
      </c>
      <c r="I168" s="52" t="s">
        <v>523</v>
      </c>
      <c r="J168" s="55"/>
      <c r="O168" s="5"/>
    </row>
    <row r="169" spans="1:15" x14ac:dyDescent="0.3">
      <c r="A169" s="56" t="s">
        <v>165</v>
      </c>
      <c r="B169" s="57" t="s">
        <v>311</v>
      </c>
      <c r="C169" s="57" t="s">
        <v>407</v>
      </c>
      <c r="D169" s="57">
        <v>3239</v>
      </c>
      <c r="E169" s="57">
        <v>22171</v>
      </c>
      <c r="F169" s="57">
        <v>22673</v>
      </c>
      <c r="G169" s="58">
        <v>9480</v>
      </c>
      <c r="H169" s="59" t="s">
        <v>318</v>
      </c>
      <c r="I169" s="57"/>
      <c r="J169" s="60"/>
      <c r="O169" s="5"/>
    </row>
    <row r="170" spans="1:15" x14ac:dyDescent="0.3">
      <c r="A170" s="51" t="s">
        <v>166</v>
      </c>
      <c r="B170" s="52" t="s">
        <v>311</v>
      </c>
      <c r="C170" s="52" t="s">
        <v>336</v>
      </c>
      <c r="D170" s="52">
        <v>1076</v>
      </c>
      <c r="E170" s="52">
        <v>11596</v>
      </c>
      <c r="F170" s="52">
        <v>11836</v>
      </c>
      <c r="G170" s="53">
        <v>29116</v>
      </c>
      <c r="H170" s="54" t="s">
        <v>333</v>
      </c>
      <c r="I170" s="52"/>
      <c r="J170" s="55"/>
      <c r="O170" s="5"/>
    </row>
    <row r="171" spans="1:15" x14ac:dyDescent="0.3">
      <c r="A171" s="56" t="s">
        <v>167</v>
      </c>
      <c r="B171" s="57" t="s">
        <v>319</v>
      </c>
      <c r="C171" s="57" t="s">
        <v>435</v>
      </c>
      <c r="D171" s="57">
        <v>4771</v>
      </c>
      <c r="E171" s="57">
        <v>56378</v>
      </c>
      <c r="F171" s="57">
        <v>57252</v>
      </c>
      <c r="G171" s="58">
        <v>14068</v>
      </c>
      <c r="H171" s="59" t="s">
        <v>333</v>
      </c>
      <c r="I171" s="57"/>
      <c r="J171" s="60"/>
      <c r="O171" s="5"/>
    </row>
    <row r="172" spans="1:15" x14ac:dyDescent="0.3">
      <c r="A172" s="51" t="s">
        <v>168</v>
      </c>
      <c r="B172" s="52" t="s">
        <v>324</v>
      </c>
      <c r="C172" s="52" t="s">
        <v>453</v>
      </c>
      <c r="D172" s="52">
        <v>2418</v>
      </c>
      <c r="E172" s="52">
        <v>42743</v>
      </c>
      <c r="F172" s="52">
        <v>43524</v>
      </c>
      <c r="G172" s="53">
        <v>35801</v>
      </c>
      <c r="H172" s="54" t="s">
        <v>322</v>
      </c>
      <c r="I172" s="52"/>
      <c r="J172" s="55"/>
      <c r="O172" s="5"/>
    </row>
    <row r="173" spans="1:15" x14ac:dyDescent="0.3">
      <c r="A173" s="56" t="s">
        <v>169</v>
      </c>
      <c r="B173" s="57" t="s">
        <v>316</v>
      </c>
      <c r="C173" s="57" t="s">
        <v>454</v>
      </c>
      <c r="D173" s="57">
        <v>3809</v>
      </c>
      <c r="E173" s="57">
        <v>33534</v>
      </c>
      <c r="F173" s="57">
        <v>34281</v>
      </c>
      <c r="G173" s="58">
        <v>49077</v>
      </c>
      <c r="H173" s="59" t="s">
        <v>322</v>
      </c>
      <c r="I173" s="57"/>
      <c r="J173" s="60"/>
      <c r="O173" s="5"/>
    </row>
    <row r="174" spans="1:15" x14ac:dyDescent="0.3">
      <c r="A174" s="51" t="s">
        <v>170</v>
      </c>
      <c r="B174" s="52" t="s">
        <v>311</v>
      </c>
      <c r="C174" s="52" t="s">
        <v>455</v>
      </c>
      <c r="D174" s="52">
        <v>3577</v>
      </c>
      <c r="E174" s="52">
        <v>67839</v>
      </c>
      <c r="F174" s="52">
        <v>67963</v>
      </c>
      <c r="G174" s="53">
        <v>21453</v>
      </c>
      <c r="H174" s="54" t="s">
        <v>318</v>
      </c>
      <c r="I174" s="52"/>
      <c r="J174" s="55"/>
      <c r="O174" s="5"/>
    </row>
    <row r="175" spans="1:15" x14ac:dyDescent="0.3">
      <c r="A175" s="56" t="s">
        <v>171</v>
      </c>
      <c r="B175" s="57" t="s">
        <v>316</v>
      </c>
      <c r="C175" s="57" t="s">
        <v>456</v>
      </c>
      <c r="D175" s="57">
        <v>1018</v>
      </c>
      <c r="E175" s="57">
        <v>18164</v>
      </c>
      <c r="F175" s="57">
        <v>18324</v>
      </c>
      <c r="G175" s="58">
        <v>21061</v>
      </c>
      <c r="H175" s="59" t="s">
        <v>333</v>
      </c>
      <c r="I175" s="57"/>
      <c r="J175" s="60"/>
      <c r="O175" s="5"/>
    </row>
    <row r="176" spans="1:15" x14ac:dyDescent="0.3">
      <c r="A176" s="51" t="s">
        <v>172</v>
      </c>
      <c r="B176" s="52" t="s">
        <v>324</v>
      </c>
      <c r="C176" s="52" t="s">
        <v>457</v>
      </c>
      <c r="D176" s="52">
        <v>3073</v>
      </c>
      <c r="E176" s="52">
        <v>51605</v>
      </c>
      <c r="F176" s="52">
        <v>52241</v>
      </c>
      <c r="G176" s="53">
        <v>20059</v>
      </c>
      <c r="H176" s="54" t="s">
        <v>322</v>
      </c>
      <c r="I176" s="52"/>
      <c r="J176" s="55"/>
      <c r="O176" s="5"/>
    </row>
    <row r="177" spans="1:15" x14ac:dyDescent="0.3">
      <c r="A177" s="56" t="s">
        <v>173</v>
      </c>
      <c r="B177" s="57" t="s">
        <v>311</v>
      </c>
      <c r="C177" s="57" t="s">
        <v>458</v>
      </c>
      <c r="D177" s="57">
        <v>1330</v>
      </c>
      <c r="E177" s="57">
        <v>15379</v>
      </c>
      <c r="F177" s="57">
        <v>15960</v>
      </c>
      <c r="G177" s="58">
        <v>23140</v>
      </c>
      <c r="H177" s="59" t="s">
        <v>333</v>
      </c>
      <c r="I177" s="57"/>
      <c r="J177" s="60"/>
      <c r="O177" s="5"/>
    </row>
    <row r="178" spans="1:15" x14ac:dyDescent="0.3">
      <c r="A178" s="51" t="s">
        <v>174</v>
      </c>
      <c r="B178" s="52" t="s">
        <v>324</v>
      </c>
      <c r="C178" s="52" t="s">
        <v>380</v>
      </c>
      <c r="D178" s="52">
        <v>3828</v>
      </c>
      <c r="E178" s="52">
        <v>30229</v>
      </c>
      <c r="F178" s="52">
        <v>30624</v>
      </c>
      <c r="G178" s="53">
        <v>23461</v>
      </c>
      <c r="H178" s="54" t="s">
        <v>322</v>
      </c>
      <c r="I178" s="52"/>
      <c r="J178" s="55"/>
      <c r="O178" s="5"/>
    </row>
    <row r="179" spans="1:15" x14ac:dyDescent="0.3">
      <c r="A179" s="56" t="s">
        <v>175</v>
      </c>
      <c r="B179" s="57" t="s">
        <v>319</v>
      </c>
      <c r="C179" s="57" t="s">
        <v>459</v>
      </c>
      <c r="D179" s="57">
        <v>142</v>
      </c>
      <c r="E179" s="57">
        <v>995</v>
      </c>
      <c r="F179" s="57">
        <v>1704</v>
      </c>
      <c r="G179" s="58">
        <v>11805</v>
      </c>
      <c r="H179" s="59" t="s">
        <v>333</v>
      </c>
      <c r="I179" s="57"/>
      <c r="J179" s="60"/>
      <c r="O179" s="5"/>
    </row>
    <row r="180" spans="1:15" x14ac:dyDescent="0.3">
      <c r="A180" s="51" t="s">
        <v>176</v>
      </c>
      <c r="B180" s="52" t="s">
        <v>324</v>
      </c>
      <c r="C180" s="52" t="s">
        <v>460</v>
      </c>
      <c r="D180" s="52">
        <v>3798</v>
      </c>
      <c r="E180" s="52">
        <v>75813</v>
      </c>
      <c r="F180" s="52">
        <v>75960</v>
      </c>
      <c r="G180" s="53">
        <v>15969</v>
      </c>
      <c r="H180" s="54" t="s">
        <v>318</v>
      </c>
      <c r="I180" s="52"/>
      <c r="J180" s="55"/>
      <c r="O180" s="5"/>
    </row>
    <row r="181" spans="1:15" x14ac:dyDescent="0.3">
      <c r="A181" s="56" t="s">
        <v>177</v>
      </c>
      <c r="B181" s="57" t="s">
        <v>319</v>
      </c>
      <c r="C181" s="57" t="s">
        <v>461</v>
      </c>
      <c r="D181" s="57">
        <v>3099</v>
      </c>
      <c r="E181" s="57">
        <v>42921</v>
      </c>
      <c r="F181" s="57">
        <v>43386</v>
      </c>
      <c r="G181" s="58">
        <v>2436</v>
      </c>
      <c r="H181" s="59" t="s">
        <v>318</v>
      </c>
      <c r="I181" s="57"/>
      <c r="J181" s="60"/>
      <c r="O181" s="5"/>
    </row>
    <row r="182" spans="1:15" x14ac:dyDescent="0.3">
      <c r="A182" s="51" t="s">
        <v>178</v>
      </c>
      <c r="B182" s="52" t="s">
        <v>319</v>
      </c>
      <c r="C182" s="52" t="s">
        <v>395</v>
      </c>
      <c r="D182" s="52">
        <v>129</v>
      </c>
      <c r="E182" s="52">
        <v>839</v>
      </c>
      <c r="F182" s="52">
        <v>1290</v>
      </c>
      <c r="G182" s="53">
        <v>47603</v>
      </c>
      <c r="H182" s="54" t="s">
        <v>318</v>
      </c>
      <c r="I182" s="52"/>
      <c r="J182" s="55"/>
      <c r="O182" s="5"/>
    </row>
    <row r="183" spans="1:15" x14ac:dyDescent="0.3">
      <c r="A183" s="56" t="s">
        <v>179</v>
      </c>
      <c r="B183" s="57" t="s">
        <v>324</v>
      </c>
      <c r="C183" s="57" t="s">
        <v>438</v>
      </c>
      <c r="D183" s="57">
        <v>3796</v>
      </c>
      <c r="E183" s="57">
        <v>63550</v>
      </c>
      <c r="F183" s="57">
        <v>64532</v>
      </c>
      <c r="G183" s="58">
        <v>42964</v>
      </c>
      <c r="H183" s="59" t="s">
        <v>318</v>
      </c>
      <c r="I183" s="57"/>
      <c r="J183" s="60"/>
      <c r="O183" s="5"/>
    </row>
    <row r="184" spans="1:15" x14ac:dyDescent="0.3">
      <c r="A184" s="51" t="s">
        <v>180</v>
      </c>
      <c r="B184" s="52" t="s">
        <v>316</v>
      </c>
      <c r="C184" s="52" t="s">
        <v>454</v>
      </c>
      <c r="D184" s="52">
        <v>3711</v>
      </c>
      <c r="E184" s="52">
        <v>47579</v>
      </c>
      <c r="F184" s="52">
        <v>48243</v>
      </c>
      <c r="G184" s="53">
        <v>39923</v>
      </c>
      <c r="H184" s="54" t="s">
        <v>318</v>
      </c>
      <c r="I184" s="52"/>
      <c r="J184" s="55"/>
      <c r="O184" s="5"/>
    </row>
    <row r="185" spans="1:15" x14ac:dyDescent="0.3">
      <c r="A185" s="56" t="s">
        <v>181</v>
      </c>
      <c r="B185" s="57" t="s">
        <v>316</v>
      </c>
      <c r="C185" s="57" t="s">
        <v>462</v>
      </c>
      <c r="D185" s="57">
        <v>606</v>
      </c>
      <c r="E185" s="57">
        <v>7389</v>
      </c>
      <c r="F185" s="57">
        <v>7878</v>
      </c>
      <c r="G185" s="58">
        <v>2293</v>
      </c>
      <c r="H185" s="59" t="s">
        <v>322</v>
      </c>
      <c r="I185" s="57"/>
      <c r="J185" s="60"/>
      <c r="O185" s="5"/>
    </row>
    <row r="186" spans="1:15" x14ac:dyDescent="0.3">
      <c r="A186" s="51" t="s">
        <v>182</v>
      </c>
      <c r="B186" s="52" t="s">
        <v>324</v>
      </c>
      <c r="C186" s="52" t="s">
        <v>355</v>
      </c>
      <c r="D186" s="52">
        <v>4689</v>
      </c>
      <c r="E186" s="52">
        <v>50924</v>
      </c>
      <c r="F186" s="52">
        <v>51579</v>
      </c>
      <c r="G186" s="53">
        <v>25920</v>
      </c>
      <c r="H186" s="54" t="s">
        <v>318</v>
      </c>
      <c r="I186" s="52"/>
      <c r="J186" s="55"/>
      <c r="O186" s="5"/>
    </row>
    <row r="187" spans="1:15" x14ac:dyDescent="0.3">
      <c r="A187" s="56" t="s">
        <v>183</v>
      </c>
      <c r="B187" s="57" t="s">
        <v>319</v>
      </c>
      <c r="C187" s="57" t="s">
        <v>463</v>
      </c>
      <c r="D187" s="57">
        <v>360</v>
      </c>
      <c r="E187" s="57">
        <v>4322</v>
      </c>
      <c r="F187" s="57">
        <v>4680</v>
      </c>
      <c r="G187" s="58">
        <v>11035</v>
      </c>
      <c r="H187" s="59" t="s">
        <v>333</v>
      </c>
      <c r="I187" s="57"/>
      <c r="J187" s="60"/>
      <c r="O187" s="5"/>
    </row>
    <row r="188" spans="1:15" x14ac:dyDescent="0.3">
      <c r="A188" s="51" t="s">
        <v>184</v>
      </c>
      <c r="B188" s="52" t="s">
        <v>311</v>
      </c>
      <c r="C188" s="52" t="s">
        <v>464</v>
      </c>
      <c r="D188" s="52">
        <v>3215</v>
      </c>
      <c r="E188" s="52">
        <v>31404</v>
      </c>
      <c r="F188" s="52">
        <v>32150</v>
      </c>
      <c r="G188" s="53">
        <v>20733</v>
      </c>
      <c r="H188" s="54" t="s">
        <v>322</v>
      </c>
      <c r="I188" s="52"/>
      <c r="J188" s="55"/>
      <c r="O188" s="5"/>
    </row>
    <row r="189" spans="1:15" x14ac:dyDescent="0.3">
      <c r="A189" s="56" t="s">
        <v>185</v>
      </c>
      <c r="B189" s="57" t="s">
        <v>319</v>
      </c>
      <c r="C189" s="57" t="s">
        <v>465</v>
      </c>
      <c r="D189" s="57">
        <v>4523</v>
      </c>
      <c r="E189" s="57">
        <v>49329</v>
      </c>
      <c r="F189" s="57">
        <v>49753</v>
      </c>
      <c r="G189" s="58">
        <v>18693</v>
      </c>
      <c r="H189" s="59" t="s">
        <v>322</v>
      </c>
      <c r="I189" s="57"/>
      <c r="J189" s="60"/>
      <c r="O189" s="5"/>
    </row>
    <row r="190" spans="1:15" x14ac:dyDescent="0.3">
      <c r="A190" s="51" t="s">
        <v>186</v>
      </c>
      <c r="B190" s="52" t="s">
        <v>324</v>
      </c>
      <c r="C190" s="52" t="s">
        <v>449</v>
      </c>
      <c r="D190" s="52">
        <v>4292</v>
      </c>
      <c r="E190" s="52">
        <v>54826</v>
      </c>
      <c r="F190" s="52">
        <v>55796</v>
      </c>
      <c r="G190" s="53">
        <v>7875</v>
      </c>
      <c r="H190" s="54" t="s">
        <v>322</v>
      </c>
      <c r="I190" s="52"/>
      <c r="J190" s="55"/>
      <c r="O190" s="5"/>
    </row>
    <row r="191" spans="1:15" x14ac:dyDescent="0.3">
      <c r="A191" s="56" t="s">
        <v>187</v>
      </c>
      <c r="B191" s="57" t="s">
        <v>311</v>
      </c>
      <c r="C191" s="57" t="s">
        <v>466</v>
      </c>
      <c r="D191" s="57">
        <v>1644</v>
      </c>
      <c r="E191" s="57">
        <v>27184</v>
      </c>
      <c r="F191" s="57">
        <v>27948</v>
      </c>
      <c r="G191" s="58">
        <v>8471</v>
      </c>
      <c r="H191" s="59" t="s">
        <v>322</v>
      </c>
      <c r="I191" s="57"/>
      <c r="J191" s="60"/>
      <c r="O191" s="5"/>
    </row>
    <row r="192" spans="1:15" x14ac:dyDescent="0.3">
      <c r="A192" s="51" t="s">
        <v>188</v>
      </c>
      <c r="B192" s="52" t="s">
        <v>316</v>
      </c>
      <c r="C192" s="52" t="s">
        <v>402</v>
      </c>
      <c r="D192" s="52">
        <v>2728</v>
      </c>
      <c r="E192" s="52">
        <v>40816</v>
      </c>
      <c r="F192" s="52">
        <v>40920</v>
      </c>
      <c r="G192" s="53">
        <v>14090</v>
      </c>
      <c r="H192" s="54" t="s">
        <v>333</v>
      </c>
      <c r="I192" s="52"/>
      <c r="J192" s="55"/>
      <c r="O192" s="5"/>
    </row>
    <row r="193" spans="1:15" x14ac:dyDescent="0.3">
      <c r="A193" s="56" t="s">
        <v>189</v>
      </c>
      <c r="B193" s="57" t="s">
        <v>324</v>
      </c>
      <c r="C193" s="57" t="s">
        <v>406</v>
      </c>
      <c r="D193" s="57">
        <v>3360</v>
      </c>
      <c r="E193" s="57">
        <v>59610</v>
      </c>
      <c r="F193" s="57">
        <v>60480</v>
      </c>
      <c r="G193" s="58">
        <v>14216</v>
      </c>
      <c r="H193" s="59" t="s">
        <v>318</v>
      </c>
      <c r="I193" s="57"/>
      <c r="J193" s="60"/>
      <c r="O193" s="5"/>
    </row>
    <row r="194" spans="1:15" x14ac:dyDescent="0.3">
      <c r="A194" s="51" t="s">
        <v>190</v>
      </c>
      <c r="B194" s="52" t="s">
        <v>316</v>
      </c>
      <c r="C194" s="52" t="s">
        <v>467</v>
      </c>
      <c r="D194" s="52">
        <v>1963</v>
      </c>
      <c r="E194" s="52">
        <v>38771</v>
      </c>
      <c r="F194" s="52">
        <v>39260</v>
      </c>
      <c r="G194" s="53">
        <v>3582</v>
      </c>
      <c r="H194" s="54" t="s">
        <v>333</v>
      </c>
      <c r="I194" s="52"/>
      <c r="J194" s="55"/>
      <c r="O194" s="5"/>
    </row>
    <row r="195" spans="1:15" x14ac:dyDescent="0.3">
      <c r="A195" s="56" t="s">
        <v>191</v>
      </c>
      <c r="B195" s="57" t="s">
        <v>316</v>
      </c>
      <c r="C195" s="57" t="s">
        <v>454</v>
      </c>
      <c r="D195" s="57">
        <v>4285</v>
      </c>
      <c r="E195" s="57">
        <v>55556</v>
      </c>
      <c r="F195" s="57">
        <v>55705</v>
      </c>
      <c r="G195" s="58">
        <v>32500</v>
      </c>
      <c r="H195" s="59" t="s">
        <v>333</v>
      </c>
      <c r="I195" s="57"/>
      <c r="J195" s="60"/>
      <c r="O195" s="5"/>
    </row>
    <row r="196" spans="1:15" x14ac:dyDescent="0.3">
      <c r="A196" s="51" t="s">
        <v>192</v>
      </c>
      <c r="B196" s="52" t="s">
        <v>319</v>
      </c>
      <c r="C196" s="52" t="s">
        <v>468</v>
      </c>
      <c r="D196" s="52">
        <v>1176</v>
      </c>
      <c r="E196" s="52">
        <v>13588</v>
      </c>
      <c r="F196" s="52">
        <v>14112</v>
      </c>
      <c r="G196" s="53">
        <v>6832</v>
      </c>
      <c r="H196" s="54" t="s">
        <v>322</v>
      </c>
      <c r="I196" s="52"/>
      <c r="J196" s="55"/>
      <c r="O196" s="5"/>
    </row>
    <row r="197" spans="1:15" x14ac:dyDescent="0.3">
      <c r="A197" s="56" t="s">
        <v>193</v>
      </c>
      <c r="B197" s="57" t="s">
        <v>311</v>
      </c>
      <c r="C197" s="57" t="s">
        <v>469</v>
      </c>
      <c r="D197" s="57">
        <v>4858</v>
      </c>
      <c r="E197" s="57">
        <v>52687</v>
      </c>
      <c r="F197" s="57">
        <v>53438</v>
      </c>
      <c r="G197" s="58">
        <v>33381</v>
      </c>
      <c r="H197" s="59" t="s">
        <v>322</v>
      </c>
      <c r="I197" s="57"/>
      <c r="J197" s="60"/>
      <c r="O197" s="5"/>
    </row>
    <row r="198" spans="1:15" x14ac:dyDescent="0.3">
      <c r="A198" s="51" t="s">
        <v>194</v>
      </c>
      <c r="B198" s="52" t="s">
        <v>316</v>
      </c>
      <c r="C198" s="52" t="s">
        <v>424</v>
      </c>
      <c r="D198" s="52">
        <v>4350</v>
      </c>
      <c r="E198" s="52">
        <v>60592</v>
      </c>
      <c r="F198" s="52">
        <v>60900</v>
      </c>
      <c r="G198" s="53">
        <v>48419</v>
      </c>
      <c r="H198" s="54" t="s">
        <v>322</v>
      </c>
      <c r="I198" s="52"/>
      <c r="J198" s="55"/>
      <c r="O198" s="5"/>
    </row>
    <row r="199" spans="1:15" x14ac:dyDescent="0.3">
      <c r="A199" s="56" t="s">
        <v>195</v>
      </c>
      <c r="B199" s="57" t="s">
        <v>319</v>
      </c>
      <c r="C199" s="57" t="s">
        <v>470</v>
      </c>
      <c r="D199" s="57">
        <v>914</v>
      </c>
      <c r="E199" s="57">
        <v>11500</v>
      </c>
      <c r="F199" s="57">
        <v>11882</v>
      </c>
      <c r="G199" s="58">
        <v>16149</v>
      </c>
      <c r="H199" s="59" t="s">
        <v>333</v>
      </c>
      <c r="I199" s="57" t="s">
        <v>318</v>
      </c>
      <c r="J199" s="60" t="s">
        <v>523</v>
      </c>
      <c r="O199" s="5"/>
    </row>
    <row r="200" spans="1:15" x14ac:dyDescent="0.3">
      <c r="A200" s="51" t="s">
        <v>196</v>
      </c>
      <c r="B200" s="52" t="s">
        <v>319</v>
      </c>
      <c r="C200" s="52" t="s">
        <v>471</v>
      </c>
      <c r="D200" s="52">
        <v>1813</v>
      </c>
      <c r="E200" s="52">
        <v>18959</v>
      </c>
      <c r="F200" s="52">
        <v>19943</v>
      </c>
      <c r="G200" s="53">
        <v>7541</v>
      </c>
      <c r="H200" s="54" t="s">
        <v>322</v>
      </c>
      <c r="I200" s="52"/>
      <c r="J200" s="55"/>
      <c r="O200" s="5"/>
    </row>
    <row r="201" spans="1:15" x14ac:dyDescent="0.3">
      <c r="A201" s="56" t="s">
        <v>197</v>
      </c>
      <c r="B201" s="57" t="s">
        <v>311</v>
      </c>
      <c r="C201" s="57" t="s">
        <v>446</v>
      </c>
      <c r="D201" s="57">
        <v>4782</v>
      </c>
      <c r="E201" s="57">
        <v>85339</v>
      </c>
      <c r="F201" s="57">
        <v>86076</v>
      </c>
      <c r="G201" s="58">
        <v>20042</v>
      </c>
      <c r="H201" s="59" t="s">
        <v>322</v>
      </c>
      <c r="I201" s="57"/>
      <c r="J201" s="60"/>
      <c r="O201" s="5"/>
    </row>
    <row r="202" spans="1:15" x14ac:dyDescent="0.3">
      <c r="A202" s="51" t="s">
        <v>198</v>
      </c>
      <c r="B202" s="52" t="s">
        <v>311</v>
      </c>
      <c r="C202" s="52" t="s">
        <v>472</v>
      </c>
      <c r="D202" s="52">
        <v>1048</v>
      </c>
      <c r="E202" s="52">
        <v>8882</v>
      </c>
      <c r="F202" s="52">
        <v>9432</v>
      </c>
      <c r="G202" s="53">
        <v>49400</v>
      </c>
      <c r="H202" s="54" t="s">
        <v>318</v>
      </c>
      <c r="I202" s="52"/>
      <c r="J202" s="55"/>
      <c r="O202" s="5"/>
    </row>
    <row r="203" spans="1:15" x14ac:dyDescent="0.3">
      <c r="A203" s="56" t="s">
        <v>199</v>
      </c>
      <c r="B203" s="57" t="s">
        <v>316</v>
      </c>
      <c r="C203" s="57" t="s">
        <v>358</v>
      </c>
      <c r="D203" s="57">
        <v>2509</v>
      </c>
      <c r="E203" s="57">
        <v>34685</v>
      </c>
      <c r="F203" s="57">
        <v>35126</v>
      </c>
      <c r="G203" s="58">
        <v>4007</v>
      </c>
      <c r="H203" s="59" t="s">
        <v>318</v>
      </c>
      <c r="I203" s="57"/>
      <c r="J203" s="60"/>
      <c r="O203" s="5"/>
    </row>
    <row r="204" spans="1:15" x14ac:dyDescent="0.3">
      <c r="A204" s="51" t="s">
        <v>200</v>
      </c>
      <c r="B204" s="52" t="s">
        <v>324</v>
      </c>
      <c r="C204" s="52" t="s">
        <v>473</v>
      </c>
      <c r="D204" s="52">
        <v>3718</v>
      </c>
      <c r="E204" s="52">
        <v>69749</v>
      </c>
      <c r="F204" s="52">
        <v>70642</v>
      </c>
      <c r="G204" s="53">
        <v>12174</v>
      </c>
      <c r="H204" s="54" t="s">
        <v>318</v>
      </c>
      <c r="I204" s="52"/>
      <c r="J204" s="55"/>
      <c r="O204" s="5"/>
    </row>
    <row r="205" spans="1:15" x14ac:dyDescent="0.3">
      <c r="A205" s="56" t="s">
        <v>201</v>
      </c>
      <c r="B205" s="57" t="s">
        <v>311</v>
      </c>
      <c r="C205" s="57" t="s">
        <v>474</v>
      </c>
      <c r="D205" s="57">
        <v>802</v>
      </c>
      <c r="E205" s="57">
        <v>14280</v>
      </c>
      <c r="F205" s="57">
        <v>14436</v>
      </c>
      <c r="G205" s="57"/>
      <c r="H205" s="59" t="s">
        <v>322</v>
      </c>
      <c r="I205" s="57"/>
      <c r="J205" s="60"/>
      <c r="O205" s="5"/>
    </row>
    <row r="206" spans="1:15" x14ac:dyDescent="0.3">
      <c r="A206" s="51" t="s">
        <v>202</v>
      </c>
      <c r="B206" s="52" t="s">
        <v>324</v>
      </c>
      <c r="C206" s="52" t="s">
        <v>475</v>
      </c>
      <c r="D206" s="52">
        <v>1871</v>
      </c>
      <c r="E206" s="52">
        <v>29576</v>
      </c>
      <c r="F206" s="52">
        <v>29936</v>
      </c>
      <c r="G206" s="52"/>
      <c r="H206" s="54" t="s">
        <v>322</v>
      </c>
      <c r="I206" s="52"/>
      <c r="J206" s="55"/>
      <c r="O206" s="5"/>
    </row>
    <row r="207" spans="1:15" x14ac:dyDescent="0.3">
      <c r="A207" s="56" t="s">
        <v>203</v>
      </c>
      <c r="B207" s="57" t="s">
        <v>319</v>
      </c>
      <c r="C207" s="57" t="s">
        <v>476</v>
      </c>
      <c r="D207" s="57">
        <v>3773</v>
      </c>
      <c r="E207" s="57">
        <v>71447</v>
      </c>
      <c r="F207" s="57">
        <v>71687</v>
      </c>
      <c r="G207" s="57"/>
      <c r="H207" s="59" t="s">
        <v>333</v>
      </c>
      <c r="I207" s="57"/>
      <c r="J207" s="60"/>
      <c r="O207" s="5"/>
    </row>
    <row r="208" spans="1:15" x14ac:dyDescent="0.3">
      <c r="A208" s="51" t="s">
        <v>204</v>
      </c>
      <c r="B208" s="52" t="s">
        <v>319</v>
      </c>
      <c r="C208" s="52" t="s">
        <v>444</v>
      </c>
      <c r="D208" s="52">
        <v>2234</v>
      </c>
      <c r="E208" s="52">
        <v>10569</v>
      </c>
      <c r="F208" s="52">
        <v>11170</v>
      </c>
      <c r="G208" s="52"/>
      <c r="H208" s="54" t="s">
        <v>333</v>
      </c>
      <c r="I208" s="52"/>
      <c r="J208" s="55"/>
      <c r="O208" s="5"/>
    </row>
    <row r="209" spans="1:10" x14ac:dyDescent="0.3">
      <c r="A209" s="56" t="s">
        <v>205</v>
      </c>
      <c r="B209" s="57" t="s">
        <v>311</v>
      </c>
      <c r="C209" s="57" t="s">
        <v>434</v>
      </c>
      <c r="D209" s="57">
        <v>3820</v>
      </c>
      <c r="E209" s="57">
        <v>45631</v>
      </c>
      <c r="F209" s="57">
        <v>45840</v>
      </c>
      <c r="G209" s="57"/>
      <c r="H209" s="59" t="s">
        <v>318</v>
      </c>
      <c r="I209" s="57" t="s">
        <v>525</v>
      </c>
      <c r="J209" s="60"/>
    </row>
    <row r="210" spans="1:10" x14ac:dyDescent="0.3">
      <c r="A210" s="51" t="s">
        <v>206</v>
      </c>
      <c r="B210" s="52" t="s">
        <v>311</v>
      </c>
      <c r="C210" s="52" t="s">
        <v>327</v>
      </c>
      <c r="D210" s="52">
        <v>941</v>
      </c>
      <c r="E210" s="52">
        <v>13838</v>
      </c>
      <c r="F210" s="52">
        <v>14115</v>
      </c>
      <c r="G210" s="52"/>
      <c r="H210" s="54" t="s">
        <v>322</v>
      </c>
      <c r="I210" s="52"/>
      <c r="J210" s="55"/>
    </row>
    <row r="211" spans="1:10" x14ac:dyDescent="0.3">
      <c r="A211" s="56" t="s">
        <v>207</v>
      </c>
      <c r="B211" s="57" t="s">
        <v>311</v>
      </c>
      <c r="C211" s="57" t="s">
        <v>477</v>
      </c>
      <c r="D211" s="57">
        <v>4274</v>
      </c>
      <c r="E211" s="57">
        <v>33446</v>
      </c>
      <c r="F211" s="57">
        <v>34192</v>
      </c>
      <c r="G211" s="57"/>
      <c r="H211" s="59" t="s">
        <v>318</v>
      </c>
      <c r="I211" s="57" t="s">
        <v>525</v>
      </c>
      <c r="J211" s="60"/>
    </row>
    <row r="212" spans="1:10" x14ac:dyDescent="0.3">
      <c r="A212" s="51" t="s">
        <v>208</v>
      </c>
      <c r="B212" s="52" t="s">
        <v>316</v>
      </c>
      <c r="C212" s="52" t="s">
        <v>327</v>
      </c>
      <c r="D212" s="52">
        <v>2949</v>
      </c>
      <c r="E212" s="52">
        <v>43705</v>
      </c>
      <c r="F212" s="52">
        <v>44235</v>
      </c>
      <c r="G212" s="52"/>
      <c r="H212" s="54" t="s">
        <v>318</v>
      </c>
      <c r="I212" s="52"/>
      <c r="J212" s="55"/>
    </row>
    <row r="213" spans="1:10" x14ac:dyDescent="0.3">
      <c r="A213" s="56" t="s">
        <v>209</v>
      </c>
      <c r="B213" s="57" t="s">
        <v>311</v>
      </c>
      <c r="C213" s="57" t="s">
        <v>478</v>
      </c>
      <c r="D213" s="57">
        <v>3160</v>
      </c>
      <c r="E213" s="57">
        <v>43666</v>
      </c>
      <c r="F213" s="57">
        <v>44240</v>
      </c>
      <c r="G213" s="57"/>
      <c r="H213" s="59" t="s">
        <v>333</v>
      </c>
      <c r="I213" s="57" t="s">
        <v>523</v>
      </c>
      <c r="J213" s="60"/>
    </row>
    <row r="214" spans="1:10" x14ac:dyDescent="0.3">
      <c r="A214" s="51" t="s">
        <v>210</v>
      </c>
      <c r="B214" s="52" t="s">
        <v>316</v>
      </c>
      <c r="C214" s="52" t="s">
        <v>450</v>
      </c>
      <c r="D214" s="52">
        <v>257</v>
      </c>
      <c r="E214" s="52">
        <v>2753</v>
      </c>
      <c r="F214" s="52">
        <v>3341</v>
      </c>
      <c r="G214" s="52"/>
      <c r="H214" s="54" t="s">
        <v>333</v>
      </c>
      <c r="I214" s="52"/>
      <c r="J214" s="55"/>
    </row>
    <row r="215" spans="1:10" x14ac:dyDescent="0.3">
      <c r="A215" s="56" t="s">
        <v>211</v>
      </c>
      <c r="B215" s="57" t="s">
        <v>311</v>
      </c>
      <c r="C215" s="57" t="s">
        <v>479</v>
      </c>
      <c r="D215" s="57">
        <v>2120</v>
      </c>
      <c r="E215" s="57">
        <v>12564</v>
      </c>
      <c r="F215" s="57">
        <v>12720</v>
      </c>
      <c r="G215" s="57"/>
      <c r="H215" s="59" t="s">
        <v>333</v>
      </c>
      <c r="I215" s="57"/>
      <c r="J215" s="60"/>
    </row>
    <row r="216" spans="1:10" x14ac:dyDescent="0.3">
      <c r="A216" s="51" t="s">
        <v>212</v>
      </c>
      <c r="B216" s="52" t="s">
        <v>316</v>
      </c>
      <c r="C216" s="52" t="s">
        <v>391</v>
      </c>
      <c r="D216" s="52">
        <v>3874</v>
      </c>
      <c r="E216" s="52">
        <v>38552</v>
      </c>
      <c r="F216" s="52">
        <v>38740</v>
      </c>
      <c r="G216" s="52"/>
      <c r="H216" s="54" t="s">
        <v>318</v>
      </c>
      <c r="I216" s="52"/>
      <c r="J216" s="55"/>
    </row>
    <row r="217" spans="1:10" x14ac:dyDescent="0.3">
      <c r="A217" s="56" t="s">
        <v>213</v>
      </c>
      <c r="B217" s="57" t="s">
        <v>324</v>
      </c>
      <c r="C217" s="57" t="s">
        <v>480</v>
      </c>
      <c r="D217" s="57">
        <v>2696</v>
      </c>
      <c r="E217" s="57">
        <v>45632</v>
      </c>
      <c r="F217" s="57">
        <v>45832</v>
      </c>
      <c r="G217" s="57"/>
      <c r="H217" s="59" t="s">
        <v>322</v>
      </c>
      <c r="I217" s="57"/>
      <c r="J217" s="60"/>
    </row>
    <row r="218" spans="1:10" x14ac:dyDescent="0.3">
      <c r="A218" s="51" t="s">
        <v>214</v>
      </c>
      <c r="B218" s="52" t="s">
        <v>319</v>
      </c>
      <c r="C218" s="52" t="s">
        <v>312</v>
      </c>
      <c r="D218" s="52">
        <v>521</v>
      </c>
      <c r="E218" s="52">
        <v>3399</v>
      </c>
      <c r="F218" s="52">
        <v>4168</v>
      </c>
      <c r="G218" s="52"/>
      <c r="H218" s="54" t="s">
        <v>333</v>
      </c>
      <c r="I218" s="52"/>
      <c r="J218" s="55"/>
    </row>
    <row r="219" spans="1:10" x14ac:dyDescent="0.3">
      <c r="A219" s="56" t="s">
        <v>215</v>
      </c>
      <c r="B219" s="57" t="s">
        <v>324</v>
      </c>
      <c r="C219" s="57" t="s">
        <v>481</v>
      </c>
      <c r="D219" s="57">
        <v>4872</v>
      </c>
      <c r="E219" s="57">
        <v>82543</v>
      </c>
      <c r="F219" s="57">
        <v>82824</v>
      </c>
      <c r="G219" s="57"/>
      <c r="H219" s="59" t="s">
        <v>322</v>
      </c>
      <c r="I219" s="57"/>
      <c r="J219" s="60"/>
    </row>
    <row r="220" spans="1:10" x14ac:dyDescent="0.3">
      <c r="A220" s="51" t="s">
        <v>216</v>
      </c>
      <c r="B220" s="52" t="s">
        <v>316</v>
      </c>
      <c r="C220" s="52" t="s">
        <v>421</v>
      </c>
      <c r="D220" s="52">
        <v>1509</v>
      </c>
      <c r="E220" s="52">
        <v>29689</v>
      </c>
      <c r="F220" s="52">
        <v>30180</v>
      </c>
      <c r="G220" s="52"/>
      <c r="H220" s="54" t="s">
        <v>322</v>
      </c>
      <c r="I220" s="52"/>
      <c r="J220" s="55"/>
    </row>
    <row r="221" spans="1:10" x14ac:dyDescent="0.3">
      <c r="A221" s="56" t="s">
        <v>217</v>
      </c>
      <c r="B221" s="57" t="s">
        <v>324</v>
      </c>
      <c r="C221" s="57" t="s">
        <v>454</v>
      </c>
      <c r="D221" s="57">
        <v>4606</v>
      </c>
      <c r="E221" s="57">
        <v>91440</v>
      </c>
      <c r="F221" s="57">
        <v>92120</v>
      </c>
      <c r="G221" s="57"/>
      <c r="H221" s="59" t="s">
        <v>318</v>
      </c>
      <c r="I221" s="57"/>
      <c r="J221" s="60"/>
    </row>
    <row r="222" spans="1:10" x14ac:dyDescent="0.3">
      <c r="A222" s="51" t="s">
        <v>218</v>
      </c>
      <c r="B222" s="52" t="s">
        <v>324</v>
      </c>
      <c r="C222" s="52" t="s">
        <v>414</v>
      </c>
      <c r="D222" s="52">
        <v>1869</v>
      </c>
      <c r="E222" s="52">
        <v>14309</v>
      </c>
      <c r="F222" s="52">
        <v>14952</v>
      </c>
      <c r="G222" s="52"/>
      <c r="H222" s="54" t="s">
        <v>318</v>
      </c>
      <c r="I222" s="52"/>
      <c r="J222" s="55"/>
    </row>
    <row r="223" spans="1:10" x14ac:dyDescent="0.3">
      <c r="A223" s="56" t="s">
        <v>219</v>
      </c>
      <c r="B223" s="57" t="s">
        <v>311</v>
      </c>
      <c r="C223" s="57" t="s">
        <v>381</v>
      </c>
      <c r="D223" s="57">
        <v>1188</v>
      </c>
      <c r="E223" s="57">
        <v>6145</v>
      </c>
      <c r="F223" s="57">
        <v>7128</v>
      </c>
      <c r="G223" s="57"/>
      <c r="H223" s="59" t="s">
        <v>318</v>
      </c>
      <c r="I223" s="57"/>
      <c r="J223" s="60"/>
    </row>
    <row r="224" spans="1:10" x14ac:dyDescent="0.3">
      <c r="A224" s="51" t="s">
        <v>220</v>
      </c>
      <c r="B224" s="52" t="s">
        <v>319</v>
      </c>
      <c r="C224" s="52" t="s">
        <v>475</v>
      </c>
      <c r="D224" s="52">
        <v>84</v>
      </c>
      <c r="E224" s="52">
        <v>8</v>
      </c>
      <c r="F224" s="52">
        <v>588</v>
      </c>
      <c r="G224" s="52"/>
      <c r="H224" s="54" t="s">
        <v>322</v>
      </c>
      <c r="I224" s="52"/>
      <c r="J224" s="55"/>
    </row>
    <row r="225" spans="1:10" x14ac:dyDescent="0.3">
      <c r="A225" s="56" t="s">
        <v>221</v>
      </c>
      <c r="B225" s="57" t="s">
        <v>324</v>
      </c>
      <c r="C225" s="57" t="s">
        <v>415</v>
      </c>
      <c r="D225" s="57">
        <v>4453</v>
      </c>
      <c r="E225" s="57">
        <v>30565</v>
      </c>
      <c r="F225" s="57">
        <v>31171</v>
      </c>
      <c r="G225" s="57"/>
      <c r="H225" s="59" t="s">
        <v>318</v>
      </c>
      <c r="I225" s="57"/>
      <c r="J225" s="60"/>
    </row>
    <row r="226" spans="1:10" x14ac:dyDescent="0.3">
      <c r="A226" s="51" t="s">
        <v>222</v>
      </c>
      <c r="B226" s="52" t="s">
        <v>324</v>
      </c>
      <c r="C226" s="52" t="s">
        <v>482</v>
      </c>
      <c r="D226" s="52">
        <v>1814</v>
      </c>
      <c r="E226" s="52">
        <v>25286</v>
      </c>
      <c r="F226" s="52">
        <v>25396</v>
      </c>
      <c r="G226" s="52"/>
      <c r="H226" s="54" t="s">
        <v>333</v>
      </c>
      <c r="I226" s="52" t="s">
        <v>525</v>
      </c>
      <c r="J226" s="55"/>
    </row>
    <row r="227" spans="1:10" x14ac:dyDescent="0.3">
      <c r="A227" s="56" t="s">
        <v>223</v>
      </c>
      <c r="B227" s="57" t="s">
        <v>311</v>
      </c>
      <c r="C227" s="57" t="s">
        <v>453</v>
      </c>
      <c r="D227" s="57">
        <v>3338</v>
      </c>
      <c r="E227" s="57">
        <v>59842</v>
      </c>
      <c r="F227" s="57">
        <v>60084</v>
      </c>
      <c r="G227" s="57"/>
      <c r="H227" s="59" t="s">
        <v>318</v>
      </c>
      <c r="I227" s="57"/>
      <c r="J227" s="60"/>
    </row>
    <row r="228" spans="1:10" x14ac:dyDescent="0.3">
      <c r="A228" s="51" t="s">
        <v>224</v>
      </c>
      <c r="B228" s="52" t="s">
        <v>324</v>
      </c>
      <c r="C228" s="52" t="s">
        <v>483</v>
      </c>
      <c r="D228" s="52">
        <v>602</v>
      </c>
      <c r="E228" s="52">
        <v>3363</v>
      </c>
      <c r="F228" s="52">
        <v>4214</v>
      </c>
      <c r="G228" s="52"/>
      <c r="H228" s="54" t="s">
        <v>318</v>
      </c>
      <c r="I228" s="52"/>
      <c r="J228" s="55"/>
    </row>
    <row r="229" spans="1:10" x14ac:dyDescent="0.3">
      <c r="A229" s="56" t="s">
        <v>225</v>
      </c>
      <c r="B229" s="57" t="s">
        <v>311</v>
      </c>
      <c r="C229" s="57" t="s">
        <v>460</v>
      </c>
      <c r="D229" s="57">
        <v>4672</v>
      </c>
      <c r="E229" s="57">
        <v>87833</v>
      </c>
      <c r="F229" s="57">
        <v>88768</v>
      </c>
      <c r="G229" s="57"/>
      <c r="H229" s="59" t="s">
        <v>322</v>
      </c>
      <c r="I229" s="57"/>
      <c r="J229" s="60"/>
    </row>
    <row r="230" spans="1:10" x14ac:dyDescent="0.3">
      <c r="A230" s="51" t="s">
        <v>226</v>
      </c>
      <c r="B230" s="52" t="s">
        <v>319</v>
      </c>
      <c r="C230" s="52" t="s">
        <v>484</v>
      </c>
      <c r="D230" s="52">
        <v>1741</v>
      </c>
      <c r="E230" s="52">
        <v>8272</v>
      </c>
      <c r="F230" s="52">
        <v>8705</v>
      </c>
      <c r="G230" s="52"/>
      <c r="H230" s="54" t="s">
        <v>318</v>
      </c>
      <c r="I230" s="52"/>
      <c r="J230" s="55"/>
    </row>
    <row r="231" spans="1:10" x14ac:dyDescent="0.3">
      <c r="A231" s="56" t="s">
        <v>227</v>
      </c>
      <c r="B231" s="57" t="s">
        <v>319</v>
      </c>
      <c r="C231" s="57" t="s">
        <v>485</v>
      </c>
      <c r="D231" s="57">
        <v>246</v>
      </c>
      <c r="E231" s="57">
        <v>4390</v>
      </c>
      <c r="F231" s="57">
        <v>4674</v>
      </c>
      <c r="G231" s="57"/>
      <c r="H231" s="59" t="s">
        <v>333</v>
      </c>
      <c r="I231" s="57"/>
      <c r="J231" s="60"/>
    </row>
    <row r="232" spans="1:10" x14ac:dyDescent="0.3">
      <c r="A232" s="51" t="s">
        <v>228</v>
      </c>
      <c r="B232" s="52" t="s">
        <v>319</v>
      </c>
      <c r="C232" s="52" t="s">
        <v>486</v>
      </c>
      <c r="D232" s="52">
        <v>4808</v>
      </c>
      <c r="E232" s="52">
        <v>71696</v>
      </c>
      <c r="F232" s="52">
        <v>72120</v>
      </c>
      <c r="G232" s="52"/>
      <c r="H232" s="54" t="s">
        <v>322</v>
      </c>
      <c r="I232" s="52"/>
      <c r="J232" s="55"/>
    </row>
    <row r="233" spans="1:10" x14ac:dyDescent="0.3">
      <c r="A233" s="56" t="s">
        <v>229</v>
      </c>
      <c r="B233" s="57" t="s">
        <v>319</v>
      </c>
      <c r="C233" s="57" t="s">
        <v>372</v>
      </c>
      <c r="D233" s="57">
        <v>4799</v>
      </c>
      <c r="E233" s="57">
        <v>42228</v>
      </c>
      <c r="F233" s="57">
        <v>43191</v>
      </c>
      <c r="G233" s="57"/>
      <c r="H233" s="59" t="s">
        <v>318</v>
      </c>
      <c r="I233" s="57"/>
      <c r="J233" s="60"/>
    </row>
    <row r="234" spans="1:10" x14ac:dyDescent="0.3">
      <c r="A234" s="51" t="s">
        <v>230</v>
      </c>
      <c r="B234" s="52" t="s">
        <v>324</v>
      </c>
      <c r="C234" s="52" t="s">
        <v>438</v>
      </c>
      <c r="D234" s="52">
        <v>3663</v>
      </c>
      <c r="E234" s="52">
        <v>50567</v>
      </c>
      <c r="F234" s="52">
        <v>51282</v>
      </c>
      <c r="G234" s="52"/>
      <c r="H234" s="54" t="s">
        <v>322</v>
      </c>
      <c r="I234" s="52"/>
      <c r="J234" s="55"/>
    </row>
    <row r="235" spans="1:10" x14ac:dyDescent="0.3">
      <c r="A235" s="56" t="s">
        <v>231</v>
      </c>
      <c r="B235" s="57" t="s">
        <v>319</v>
      </c>
      <c r="C235" s="57" t="s">
        <v>480</v>
      </c>
      <c r="D235" s="57">
        <v>1430</v>
      </c>
      <c r="E235" s="57">
        <v>20509</v>
      </c>
      <c r="F235" s="57">
        <v>21450</v>
      </c>
      <c r="G235" s="57"/>
      <c r="H235" s="59" t="s">
        <v>333</v>
      </c>
      <c r="I235" s="57"/>
      <c r="J235" s="60"/>
    </row>
    <row r="236" spans="1:10" x14ac:dyDescent="0.3">
      <c r="A236" s="51" t="s">
        <v>232</v>
      </c>
      <c r="B236" s="52" t="s">
        <v>311</v>
      </c>
      <c r="C236" s="52" t="s">
        <v>487</v>
      </c>
      <c r="D236" s="52">
        <v>249</v>
      </c>
      <c r="E236" s="52">
        <v>1044</v>
      </c>
      <c r="F236" s="52">
        <v>1494</v>
      </c>
      <c r="G236" s="52"/>
      <c r="H236" s="54" t="s">
        <v>322</v>
      </c>
      <c r="I236" s="52"/>
      <c r="J236" s="55"/>
    </row>
    <row r="237" spans="1:10" x14ac:dyDescent="0.3">
      <c r="A237" s="56" t="s">
        <v>233</v>
      </c>
      <c r="B237" s="57" t="s">
        <v>324</v>
      </c>
      <c r="C237" s="57" t="s">
        <v>364</v>
      </c>
      <c r="D237" s="57">
        <v>2382</v>
      </c>
      <c r="E237" s="57">
        <v>37437</v>
      </c>
      <c r="F237" s="57">
        <v>38112</v>
      </c>
      <c r="G237" s="57"/>
      <c r="H237" s="59" t="s">
        <v>333</v>
      </c>
      <c r="I237" s="57"/>
      <c r="J237" s="60"/>
    </row>
    <row r="238" spans="1:10" x14ac:dyDescent="0.3">
      <c r="A238" s="51" t="s">
        <v>234</v>
      </c>
      <c r="B238" s="52" t="s">
        <v>324</v>
      </c>
      <c r="C238" s="52" t="s">
        <v>488</v>
      </c>
      <c r="D238" s="52">
        <v>1272</v>
      </c>
      <c r="E238" s="52">
        <v>23719</v>
      </c>
      <c r="F238" s="52">
        <v>24168</v>
      </c>
      <c r="G238" s="52"/>
      <c r="H238" s="54" t="s">
        <v>318</v>
      </c>
      <c r="I238" s="52"/>
      <c r="J238" s="55"/>
    </row>
    <row r="239" spans="1:10" x14ac:dyDescent="0.3">
      <c r="A239" s="56" t="s">
        <v>235</v>
      </c>
      <c r="B239" s="57" t="s">
        <v>324</v>
      </c>
      <c r="C239" s="57" t="s">
        <v>466</v>
      </c>
      <c r="D239" s="57">
        <v>3196</v>
      </c>
      <c r="E239" s="57">
        <v>34444</v>
      </c>
      <c r="F239" s="57">
        <v>35156</v>
      </c>
      <c r="G239" s="57"/>
      <c r="H239" s="59" t="s">
        <v>318</v>
      </c>
      <c r="I239" s="57"/>
      <c r="J239" s="60"/>
    </row>
    <row r="240" spans="1:10" x14ac:dyDescent="0.3">
      <c r="A240" s="51" t="s">
        <v>236</v>
      </c>
      <c r="B240" s="52" t="s">
        <v>324</v>
      </c>
      <c r="C240" s="52" t="s">
        <v>341</v>
      </c>
      <c r="D240" s="52">
        <v>1257</v>
      </c>
      <c r="E240" s="52">
        <v>11660</v>
      </c>
      <c r="F240" s="52">
        <v>12570</v>
      </c>
      <c r="G240" s="52"/>
      <c r="H240" s="54" t="s">
        <v>333</v>
      </c>
      <c r="I240" s="52" t="s">
        <v>523</v>
      </c>
      <c r="J240" s="55" t="s">
        <v>322</v>
      </c>
    </row>
    <row r="241" spans="1:10" x14ac:dyDescent="0.3">
      <c r="A241" s="56" t="s">
        <v>237</v>
      </c>
      <c r="B241" s="57" t="s">
        <v>319</v>
      </c>
      <c r="C241" s="57" t="s">
        <v>446</v>
      </c>
      <c r="D241" s="57">
        <v>3770</v>
      </c>
      <c r="E241" s="57">
        <v>71322</v>
      </c>
      <c r="F241" s="57">
        <v>71630</v>
      </c>
      <c r="G241" s="57"/>
      <c r="H241" s="59" t="s">
        <v>333</v>
      </c>
      <c r="I241" s="57"/>
      <c r="J241" s="60"/>
    </row>
    <row r="242" spans="1:10" x14ac:dyDescent="0.3">
      <c r="A242" s="51" t="s">
        <v>238</v>
      </c>
      <c r="B242" s="52" t="s">
        <v>311</v>
      </c>
      <c r="C242" s="52" t="s">
        <v>489</v>
      </c>
      <c r="D242" s="52">
        <v>4725</v>
      </c>
      <c r="E242" s="52">
        <v>74927</v>
      </c>
      <c r="F242" s="52">
        <v>75600</v>
      </c>
      <c r="G242" s="52"/>
      <c r="H242" s="54" t="s">
        <v>333</v>
      </c>
      <c r="I242" s="52"/>
      <c r="J242" s="55"/>
    </row>
    <row r="243" spans="1:10" x14ac:dyDescent="0.3">
      <c r="A243" s="56" t="s">
        <v>239</v>
      </c>
      <c r="B243" s="57" t="s">
        <v>316</v>
      </c>
      <c r="C243" s="57" t="s">
        <v>370</v>
      </c>
      <c r="D243" s="57">
        <v>4188</v>
      </c>
      <c r="E243" s="57">
        <v>20471</v>
      </c>
      <c r="F243" s="57">
        <v>20940</v>
      </c>
      <c r="G243" s="57"/>
      <c r="H243" s="59" t="s">
        <v>333</v>
      </c>
      <c r="I243" s="57"/>
      <c r="J243" s="60"/>
    </row>
    <row r="244" spans="1:10" x14ac:dyDescent="0.3">
      <c r="A244" s="51" t="s">
        <v>240</v>
      </c>
      <c r="B244" s="52" t="s">
        <v>311</v>
      </c>
      <c r="C244" s="52" t="s">
        <v>339</v>
      </c>
      <c r="D244" s="52">
        <v>929</v>
      </c>
      <c r="E244" s="52">
        <v>15996</v>
      </c>
      <c r="F244" s="52">
        <v>16722</v>
      </c>
      <c r="G244" s="52"/>
      <c r="H244" s="54" t="s">
        <v>322</v>
      </c>
      <c r="I244" s="52" t="s">
        <v>318</v>
      </c>
      <c r="J244" s="55" t="s">
        <v>523</v>
      </c>
    </row>
    <row r="245" spans="1:10" x14ac:dyDescent="0.3">
      <c r="A245" s="56" t="s">
        <v>241</v>
      </c>
      <c r="B245" s="57" t="s">
        <v>324</v>
      </c>
      <c r="C245" s="57" t="s">
        <v>490</v>
      </c>
      <c r="D245" s="57">
        <v>4321</v>
      </c>
      <c r="E245" s="57">
        <v>29254</v>
      </c>
      <c r="F245" s="57">
        <v>30247</v>
      </c>
      <c r="G245" s="57"/>
      <c r="H245" s="59" t="s">
        <v>318</v>
      </c>
      <c r="I245" s="57"/>
      <c r="J245" s="60"/>
    </row>
    <row r="246" spans="1:10" x14ac:dyDescent="0.3">
      <c r="A246" s="51" t="s">
        <v>242</v>
      </c>
      <c r="B246" s="52" t="s">
        <v>324</v>
      </c>
      <c r="C246" s="52" t="s">
        <v>403</v>
      </c>
      <c r="D246" s="52">
        <v>4767</v>
      </c>
      <c r="E246" s="52">
        <v>28044</v>
      </c>
      <c r="F246" s="52">
        <v>28602</v>
      </c>
      <c r="G246" s="52"/>
      <c r="H246" s="54" t="s">
        <v>322</v>
      </c>
      <c r="I246" s="52"/>
      <c r="J246" s="55"/>
    </row>
    <row r="247" spans="1:10" x14ac:dyDescent="0.3">
      <c r="A247" s="56" t="s">
        <v>243</v>
      </c>
      <c r="B247" s="57" t="s">
        <v>311</v>
      </c>
      <c r="C247" s="57" t="s">
        <v>491</v>
      </c>
      <c r="D247" s="57">
        <v>3592</v>
      </c>
      <c r="E247" s="57">
        <v>49490</v>
      </c>
      <c r="F247" s="57">
        <v>50288</v>
      </c>
      <c r="G247" s="57"/>
      <c r="H247" s="59" t="s">
        <v>333</v>
      </c>
      <c r="I247" s="57"/>
      <c r="J247" s="60"/>
    </row>
    <row r="248" spans="1:10" x14ac:dyDescent="0.3">
      <c r="A248" s="51" t="s">
        <v>244</v>
      </c>
      <c r="B248" s="52" t="s">
        <v>316</v>
      </c>
      <c r="C248" s="52" t="s">
        <v>492</v>
      </c>
      <c r="D248" s="52">
        <v>4661</v>
      </c>
      <c r="E248" s="52">
        <v>22583</v>
      </c>
      <c r="F248" s="52">
        <v>23305</v>
      </c>
      <c r="G248" s="52"/>
      <c r="H248" s="54" t="s">
        <v>333</v>
      </c>
      <c r="I248" s="52"/>
      <c r="J248" s="55"/>
    </row>
    <row r="249" spans="1:10" x14ac:dyDescent="0.3">
      <c r="A249" s="56" t="s">
        <v>245</v>
      </c>
      <c r="B249" s="57" t="s">
        <v>324</v>
      </c>
      <c r="C249" s="57" t="s">
        <v>493</v>
      </c>
      <c r="D249" s="57">
        <v>4134</v>
      </c>
      <c r="E249" s="57">
        <v>41050</v>
      </c>
      <c r="F249" s="57">
        <v>41340</v>
      </c>
      <c r="G249" s="57"/>
      <c r="H249" s="59" t="s">
        <v>322</v>
      </c>
      <c r="I249" s="57"/>
      <c r="J249" s="60"/>
    </row>
    <row r="250" spans="1:10" x14ac:dyDescent="0.3">
      <c r="A250" s="51" t="s">
        <v>246</v>
      </c>
      <c r="B250" s="52" t="s">
        <v>324</v>
      </c>
      <c r="C250" s="52" t="s">
        <v>494</v>
      </c>
      <c r="D250" s="52">
        <v>400</v>
      </c>
      <c r="E250" s="52">
        <v>5472</v>
      </c>
      <c r="F250" s="52">
        <v>6400</v>
      </c>
      <c r="G250" s="52"/>
      <c r="H250" s="54" t="s">
        <v>333</v>
      </c>
      <c r="I250" s="52"/>
      <c r="J250" s="55"/>
    </row>
    <row r="251" spans="1:10" x14ac:dyDescent="0.3">
      <c r="A251" s="56" t="s">
        <v>247</v>
      </c>
      <c r="B251" s="57" t="s">
        <v>324</v>
      </c>
      <c r="C251" s="57" t="s">
        <v>495</v>
      </c>
      <c r="D251" s="57">
        <v>3960</v>
      </c>
      <c r="E251" s="57">
        <v>34850</v>
      </c>
      <c r="F251" s="57">
        <v>35640</v>
      </c>
      <c r="G251" s="57"/>
      <c r="H251" s="59" t="s">
        <v>333</v>
      </c>
      <c r="I251" s="57" t="s">
        <v>322</v>
      </c>
      <c r="J251" s="60" t="s">
        <v>524</v>
      </c>
    </row>
    <row r="252" spans="1:10" x14ac:dyDescent="0.3">
      <c r="A252" s="51" t="s">
        <v>248</v>
      </c>
      <c r="B252" s="52" t="s">
        <v>324</v>
      </c>
      <c r="C252" s="52" t="s">
        <v>332</v>
      </c>
      <c r="D252" s="52">
        <v>886</v>
      </c>
      <c r="E252" s="52">
        <v>4037</v>
      </c>
      <c r="F252" s="52">
        <v>4430</v>
      </c>
      <c r="G252" s="52"/>
      <c r="H252" s="54" t="s">
        <v>322</v>
      </c>
      <c r="I252" s="52"/>
      <c r="J252" s="55"/>
    </row>
    <row r="253" spans="1:10" x14ac:dyDescent="0.3">
      <c r="A253" s="56" t="s">
        <v>249</v>
      </c>
      <c r="B253" s="57" t="s">
        <v>311</v>
      </c>
      <c r="C253" s="57" t="s">
        <v>479</v>
      </c>
      <c r="D253" s="57">
        <v>827</v>
      </c>
      <c r="E253" s="57">
        <v>14129</v>
      </c>
      <c r="F253" s="57">
        <v>14886</v>
      </c>
      <c r="G253" s="57"/>
      <c r="H253" s="59" t="s">
        <v>322</v>
      </c>
      <c r="I253" s="57"/>
      <c r="J253" s="60"/>
    </row>
    <row r="254" spans="1:10" x14ac:dyDescent="0.3">
      <c r="A254" s="51" t="s">
        <v>250</v>
      </c>
      <c r="B254" s="52" t="s">
        <v>324</v>
      </c>
      <c r="C254" s="52" t="s">
        <v>380</v>
      </c>
      <c r="D254" s="52">
        <v>3813</v>
      </c>
      <c r="E254" s="52">
        <v>68488</v>
      </c>
      <c r="F254" s="52">
        <v>68634</v>
      </c>
      <c r="G254" s="52"/>
      <c r="H254" s="54" t="s">
        <v>333</v>
      </c>
      <c r="I254" s="52"/>
      <c r="J254" s="55"/>
    </row>
    <row r="255" spans="1:10" x14ac:dyDescent="0.3">
      <c r="A255" s="56" t="s">
        <v>251</v>
      </c>
      <c r="B255" s="57" t="s">
        <v>319</v>
      </c>
      <c r="C255" s="57" t="s">
        <v>496</v>
      </c>
      <c r="D255" s="57">
        <v>1377</v>
      </c>
      <c r="E255" s="57">
        <v>21869</v>
      </c>
      <c r="F255" s="57">
        <v>22032</v>
      </c>
      <c r="G255" s="57"/>
      <c r="H255" s="59" t="s">
        <v>333</v>
      </c>
      <c r="I255" s="57"/>
      <c r="J255" s="60"/>
    </row>
    <row r="256" spans="1:10" x14ac:dyDescent="0.3">
      <c r="A256" s="51" t="s">
        <v>252</v>
      </c>
      <c r="B256" s="52" t="s">
        <v>324</v>
      </c>
      <c r="C256" s="52" t="s">
        <v>455</v>
      </c>
      <c r="D256" s="52">
        <v>2089</v>
      </c>
      <c r="E256" s="52">
        <v>16309</v>
      </c>
      <c r="F256" s="52">
        <v>16712</v>
      </c>
      <c r="G256" s="52"/>
      <c r="H256" s="54" t="s">
        <v>333</v>
      </c>
      <c r="I256" s="52"/>
      <c r="J256" s="55"/>
    </row>
    <row r="257" spans="1:10" x14ac:dyDescent="0.3">
      <c r="A257" s="56" t="s">
        <v>253</v>
      </c>
      <c r="B257" s="57" t="s">
        <v>311</v>
      </c>
      <c r="C257" s="57" t="s">
        <v>497</v>
      </c>
      <c r="D257" s="57">
        <v>3791</v>
      </c>
      <c r="E257" s="57">
        <v>52613</v>
      </c>
      <c r="F257" s="57">
        <v>53074</v>
      </c>
      <c r="G257" s="57"/>
      <c r="H257" s="59" t="s">
        <v>322</v>
      </c>
      <c r="I257" s="57"/>
      <c r="J257" s="60"/>
    </row>
    <row r="258" spans="1:10" x14ac:dyDescent="0.3">
      <c r="A258" s="51" t="s">
        <v>254</v>
      </c>
      <c r="B258" s="52" t="s">
        <v>311</v>
      </c>
      <c r="C258" s="52" t="s">
        <v>498</v>
      </c>
      <c r="D258" s="52">
        <v>2692</v>
      </c>
      <c r="E258" s="52">
        <v>21120</v>
      </c>
      <c r="F258" s="52">
        <v>21536</v>
      </c>
      <c r="G258" s="52"/>
      <c r="H258" s="54" t="s">
        <v>333</v>
      </c>
      <c r="I258" s="52"/>
      <c r="J258" s="55"/>
    </row>
    <row r="259" spans="1:10" x14ac:dyDescent="0.3">
      <c r="A259" s="56" t="s">
        <v>255</v>
      </c>
      <c r="B259" s="57" t="s">
        <v>324</v>
      </c>
      <c r="C259" s="57" t="s">
        <v>314</v>
      </c>
      <c r="D259" s="57">
        <v>3767</v>
      </c>
      <c r="E259" s="57">
        <v>36807</v>
      </c>
      <c r="F259" s="57">
        <v>37670</v>
      </c>
      <c r="G259" s="57"/>
      <c r="H259" s="59" t="s">
        <v>333</v>
      </c>
      <c r="I259" s="57"/>
      <c r="J259" s="60"/>
    </row>
    <row r="260" spans="1:10" x14ac:dyDescent="0.3">
      <c r="A260" s="51" t="s">
        <v>256</v>
      </c>
      <c r="B260" s="52" t="s">
        <v>316</v>
      </c>
      <c r="C260" s="52" t="s">
        <v>413</v>
      </c>
      <c r="D260" s="52">
        <v>2143</v>
      </c>
      <c r="E260" s="52">
        <v>40125</v>
      </c>
      <c r="F260" s="52">
        <v>40717</v>
      </c>
      <c r="G260" s="52"/>
      <c r="H260" s="54" t="s">
        <v>322</v>
      </c>
      <c r="I260" s="52"/>
      <c r="J260" s="55"/>
    </row>
    <row r="261" spans="1:10" x14ac:dyDescent="0.3">
      <c r="A261" s="56" t="s">
        <v>257</v>
      </c>
      <c r="B261" s="57" t="s">
        <v>324</v>
      </c>
      <c r="C261" s="57" t="s">
        <v>430</v>
      </c>
      <c r="D261" s="57">
        <v>3090</v>
      </c>
      <c r="E261" s="57">
        <v>48524</v>
      </c>
      <c r="F261" s="57">
        <v>49440</v>
      </c>
      <c r="G261" s="57"/>
      <c r="H261" s="59" t="s">
        <v>322</v>
      </c>
      <c r="I261" s="57" t="s">
        <v>322</v>
      </c>
      <c r="J261" s="60" t="s">
        <v>524</v>
      </c>
    </row>
    <row r="262" spans="1:10" x14ac:dyDescent="0.3">
      <c r="A262" s="51" t="s">
        <v>258</v>
      </c>
      <c r="B262" s="52" t="s">
        <v>319</v>
      </c>
      <c r="C262" s="52" t="s">
        <v>499</v>
      </c>
      <c r="D262" s="52">
        <v>3601</v>
      </c>
      <c r="E262" s="52">
        <v>21454</v>
      </c>
      <c r="F262" s="52">
        <v>21606</v>
      </c>
      <c r="G262" s="52"/>
      <c r="H262" s="54" t="s">
        <v>322</v>
      </c>
      <c r="I262" s="52"/>
      <c r="J262" s="55"/>
    </row>
    <row r="263" spans="1:10" x14ac:dyDescent="0.3">
      <c r="A263" s="56" t="s">
        <v>259</v>
      </c>
      <c r="B263" s="57" t="s">
        <v>324</v>
      </c>
      <c r="C263" s="57" t="s">
        <v>412</v>
      </c>
      <c r="D263" s="57">
        <v>562</v>
      </c>
      <c r="E263" s="57">
        <v>2940</v>
      </c>
      <c r="F263" s="57">
        <v>3372</v>
      </c>
      <c r="G263" s="57"/>
      <c r="H263" s="59" t="s">
        <v>318</v>
      </c>
      <c r="I263" s="57"/>
      <c r="J263" s="60"/>
    </row>
    <row r="264" spans="1:10" x14ac:dyDescent="0.3">
      <c r="A264" s="51" t="s">
        <v>260</v>
      </c>
      <c r="B264" s="52" t="s">
        <v>319</v>
      </c>
      <c r="C264" s="52" t="s">
        <v>500</v>
      </c>
      <c r="D264" s="52">
        <v>4332</v>
      </c>
      <c r="E264" s="52">
        <v>60397</v>
      </c>
      <c r="F264" s="52">
        <v>60648</v>
      </c>
      <c r="G264" s="52"/>
      <c r="H264" s="54" t="s">
        <v>318</v>
      </c>
      <c r="I264" s="52" t="s">
        <v>322</v>
      </c>
      <c r="J264" s="55" t="s">
        <v>524</v>
      </c>
    </row>
    <row r="265" spans="1:10" x14ac:dyDescent="0.3">
      <c r="A265" s="56" t="s">
        <v>261</v>
      </c>
      <c r="B265" s="57" t="s">
        <v>319</v>
      </c>
      <c r="C265" s="57" t="s">
        <v>501</v>
      </c>
      <c r="D265" s="57">
        <v>4853</v>
      </c>
      <c r="E265" s="57">
        <v>72237</v>
      </c>
      <c r="F265" s="57">
        <v>72795</v>
      </c>
      <c r="G265" s="57"/>
      <c r="H265" s="59" t="s">
        <v>322</v>
      </c>
      <c r="I265" s="57"/>
      <c r="J265" s="60"/>
    </row>
    <row r="266" spans="1:10" x14ac:dyDescent="0.3">
      <c r="A266" s="51" t="s">
        <v>262</v>
      </c>
      <c r="B266" s="52" t="s">
        <v>316</v>
      </c>
      <c r="C266" s="52" t="s">
        <v>490</v>
      </c>
      <c r="D266" s="52">
        <v>1206</v>
      </c>
      <c r="E266" s="52">
        <v>9417</v>
      </c>
      <c r="F266" s="52">
        <v>9648</v>
      </c>
      <c r="G266" s="52"/>
      <c r="H266" s="54" t="s">
        <v>318</v>
      </c>
      <c r="I266" s="52"/>
      <c r="J266" s="55"/>
    </row>
    <row r="267" spans="1:10" x14ac:dyDescent="0.3">
      <c r="A267" s="56" t="s">
        <v>263</v>
      </c>
      <c r="B267" s="57" t="s">
        <v>319</v>
      </c>
      <c r="C267" s="57" t="s">
        <v>502</v>
      </c>
      <c r="D267" s="57">
        <v>2603</v>
      </c>
      <c r="E267" s="57">
        <v>12130</v>
      </c>
      <c r="F267" s="57">
        <v>13015</v>
      </c>
      <c r="G267" s="57"/>
      <c r="H267" s="59" t="s">
        <v>333</v>
      </c>
      <c r="I267" s="57"/>
      <c r="J267" s="60"/>
    </row>
    <row r="268" spans="1:10" x14ac:dyDescent="0.3">
      <c r="A268" s="51" t="s">
        <v>264</v>
      </c>
      <c r="B268" s="52" t="s">
        <v>311</v>
      </c>
      <c r="C268" s="52" t="s">
        <v>503</v>
      </c>
      <c r="D268" s="52">
        <v>59</v>
      </c>
      <c r="E268" s="52">
        <v>475</v>
      </c>
      <c r="F268" s="52">
        <v>590</v>
      </c>
      <c r="G268" s="52"/>
      <c r="H268" s="54" t="s">
        <v>318</v>
      </c>
      <c r="I268" s="52"/>
      <c r="J268" s="55"/>
    </row>
    <row r="269" spans="1:10" x14ac:dyDescent="0.3">
      <c r="A269" s="56" t="s">
        <v>265</v>
      </c>
      <c r="B269" s="57" t="s">
        <v>311</v>
      </c>
      <c r="C269" s="57" t="s">
        <v>504</v>
      </c>
      <c r="D269" s="57">
        <v>1877</v>
      </c>
      <c r="E269" s="57">
        <v>10967</v>
      </c>
      <c r="F269" s="57">
        <v>11262</v>
      </c>
      <c r="G269" s="57"/>
      <c r="H269" s="59" t="s">
        <v>322</v>
      </c>
      <c r="I269" s="57"/>
      <c r="J269" s="60"/>
    </row>
    <row r="270" spans="1:10" x14ac:dyDescent="0.3">
      <c r="A270" s="51" t="s">
        <v>266</v>
      </c>
      <c r="B270" s="52" t="s">
        <v>324</v>
      </c>
      <c r="C270" s="52" t="s">
        <v>362</v>
      </c>
      <c r="D270" s="52">
        <v>4182</v>
      </c>
      <c r="E270" s="52">
        <v>49351</v>
      </c>
      <c r="F270" s="52">
        <v>50184</v>
      </c>
      <c r="G270" s="52"/>
      <c r="H270" s="54" t="s">
        <v>318</v>
      </c>
      <c r="I270" s="52"/>
      <c r="J270" s="55"/>
    </row>
    <row r="271" spans="1:10" x14ac:dyDescent="0.3">
      <c r="A271" s="56" t="s">
        <v>267</v>
      </c>
      <c r="B271" s="57" t="s">
        <v>311</v>
      </c>
      <c r="C271" s="57" t="s">
        <v>467</v>
      </c>
      <c r="D271" s="57">
        <v>4187</v>
      </c>
      <c r="E271" s="57">
        <v>66614</v>
      </c>
      <c r="F271" s="57">
        <v>66992</v>
      </c>
      <c r="G271" s="57"/>
      <c r="H271" s="59" t="s">
        <v>333</v>
      </c>
      <c r="I271" s="57"/>
      <c r="J271" s="60"/>
    </row>
    <row r="272" spans="1:10" x14ac:dyDescent="0.3">
      <c r="A272" s="51" t="s">
        <v>268</v>
      </c>
      <c r="B272" s="52" t="s">
        <v>319</v>
      </c>
      <c r="C272" s="52" t="s">
        <v>505</v>
      </c>
      <c r="D272" s="52">
        <v>4579</v>
      </c>
      <c r="E272" s="52">
        <v>59400</v>
      </c>
      <c r="F272" s="52">
        <v>59527</v>
      </c>
      <c r="G272" s="52"/>
      <c r="H272" s="54" t="s">
        <v>322</v>
      </c>
      <c r="I272" s="52"/>
      <c r="J272" s="55"/>
    </row>
    <row r="273" spans="1:10" x14ac:dyDescent="0.3">
      <c r="A273" s="56" t="s">
        <v>269</v>
      </c>
      <c r="B273" s="57" t="s">
        <v>319</v>
      </c>
      <c r="C273" s="57" t="s">
        <v>506</v>
      </c>
      <c r="D273" s="57">
        <v>4561</v>
      </c>
      <c r="E273" s="57">
        <v>21890</v>
      </c>
      <c r="F273" s="57">
        <v>22805</v>
      </c>
      <c r="G273" s="57"/>
      <c r="H273" s="59" t="s">
        <v>318</v>
      </c>
      <c r="I273" s="57"/>
      <c r="J273" s="60"/>
    </row>
    <row r="274" spans="1:10" x14ac:dyDescent="0.3">
      <c r="A274" s="51" t="s">
        <v>270</v>
      </c>
      <c r="B274" s="52" t="s">
        <v>316</v>
      </c>
      <c r="C274" s="52" t="s">
        <v>474</v>
      </c>
      <c r="D274" s="52">
        <v>3774</v>
      </c>
      <c r="E274" s="52">
        <v>59490</v>
      </c>
      <c r="F274" s="52">
        <v>60384</v>
      </c>
      <c r="G274" s="52"/>
      <c r="H274" s="54" t="s">
        <v>318</v>
      </c>
      <c r="I274" s="52"/>
      <c r="J274" s="55"/>
    </row>
    <row r="275" spans="1:10" x14ac:dyDescent="0.3">
      <c r="A275" s="56" t="s">
        <v>271</v>
      </c>
      <c r="B275" s="57" t="s">
        <v>319</v>
      </c>
      <c r="C275" s="57" t="s">
        <v>507</v>
      </c>
      <c r="D275" s="57">
        <v>3575</v>
      </c>
      <c r="E275" s="57">
        <v>20785</v>
      </c>
      <c r="F275" s="57">
        <v>21450</v>
      </c>
      <c r="G275" s="57"/>
      <c r="H275" s="59" t="s">
        <v>322</v>
      </c>
      <c r="I275" s="57"/>
      <c r="J275" s="60"/>
    </row>
    <row r="276" spans="1:10" x14ac:dyDescent="0.3">
      <c r="A276" s="51" t="s">
        <v>272</v>
      </c>
      <c r="B276" s="52" t="s">
        <v>319</v>
      </c>
      <c r="C276" s="52" t="s">
        <v>496</v>
      </c>
      <c r="D276" s="52">
        <v>4941</v>
      </c>
      <c r="E276" s="52">
        <v>39154</v>
      </c>
      <c r="F276" s="52">
        <v>39528</v>
      </c>
      <c r="G276" s="52"/>
      <c r="H276" s="54" t="s">
        <v>318</v>
      </c>
      <c r="I276" s="52"/>
      <c r="J276" s="55"/>
    </row>
    <row r="277" spans="1:10" x14ac:dyDescent="0.3">
      <c r="A277" s="56" t="s">
        <v>273</v>
      </c>
      <c r="B277" s="57" t="s">
        <v>316</v>
      </c>
      <c r="C277" s="57" t="s">
        <v>508</v>
      </c>
      <c r="D277" s="57">
        <v>3641</v>
      </c>
      <c r="E277" s="57">
        <v>39319</v>
      </c>
      <c r="F277" s="57">
        <v>40051</v>
      </c>
      <c r="G277" s="57"/>
      <c r="H277" s="59" t="s">
        <v>322</v>
      </c>
      <c r="I277" s="57"/>
      <c r="J277" s="60"/>
    </row>
    <row r="278" spans="1:10" x14ac:dyDescent="0.3">
      <c r="A278" s="51" t="s">
        <v>274</v>
      </c>
      <c r="B278" s="52" t="s">
        <v>311</v>
      </c>
      <c r="C278" s="52" t="s">
        <v>444</v>
      </c>
      <c r="D278" s="52">
        <v>3535</v>
      </c>
      <c r="E278" s="52">
        <v>52791</v>
      </c>
      <c r="F278" s="52">
        <v>53025</v>
      </c>
      <c r="G278" s="52"/>
      <c r="H278" s="54" t="s">
        <v>318</v>
      </c>
      <c r="I278" s="52"/>
      <c r="J278" s="55"/>
    </row>
    <row r="279" spans="1:10" x14ac:dyDescent="0.3">
      <c r="A279" s="56" t="s">
        <v>275</v>
      </c>
      <c r="B279" s="57" t="s">
        <v>324</v>
      </c>
      <c r="C279" s="57" t="s">
        <v>499</v>
      </c>
      <c r="D279" s="57">
        <v>1741</v>
      </c>
      <c r="E279" s="57">
        <v>16844</v>
      </c>
      <c r="F279" s="57">
        <v>17410</v>
      </c>
      <c r="G279" s="57"/>
      <c r="H279" s="59" t="s">
        <v>322</v>
      </c>
      <c r="I279" s="57"/>
      <c r="J279" s="60"/>
    </row>
    <row r="280" spans="1:10" x14ac:dyDescent="0.3">
      <c r="A280" s="51" t="s">
        <v>276</v>
      </c>
      <c r="B280" s="52" t="s">
        <v>311</v>
      </c>
      <c r="C280" s="52" t="s">
        <v>509</v>
      </c>
      <c r="D280" s="52">
        <v>1556</v>
      </c>
      <c r="E280" s="52">
        <v>8875</v>
      </c>
      <c r="F280" s="52">
        <v>9336</v>
      </c>
      <c r="G280" s="52"/>
      <c r="H280" s="54" t="s">
        <v>318</v>
      </c>
      <c r="I280" s="52"/>
      <c r="J280" s="55"/>
    </row>
    <row r="281" spans="1:10" x14ac:dyDescent="0.3">
      <c r="A281" s="56" t="s">
        <v>277</v>
      </c>
      <c r="B281" s="57" t="s">
        <v>324</v>
      </c>
      <c r="C281" s="57" t="s">
        <v>430</v>
      </c>
      <c r="D281" s="57">
        <v>4236</v>
      </c>
      <c r="E281" s="57">
        <v>20516</v>
      </c>
      <c r="F281" s="57">
        <v>21180</v>
      </c>
      <c r="G281" s="57"/>
      <c r="H281" s="59" t="s">
        <v>333</v>
      </c>
      <c r="I281" s="57"/>
      <c r="J281" s="60"/>
    </row>
    <row r="282" spans="1:10" x14ac:dyDescent="0.3">
      <c r="A282" s="51" t="s">
        <v>278</v>
      </c>
      <c r="B282" s="52" t="s">
        <v>311</v>
      </c>
      <c r="C282" s="52" t="s">
        <v>510</v>
      </c>
      <c r="D282" s="52">
        <v>4516</v>
      </c>
      <c r="E282" s="52">
        <v>49257</v>
      </c>
      <c r="F282" s="52">
        <v>49676</v>
      </c>
      <c r="G282" s="52"/>
      <c r="H282" s="54" t="s">
        <v>322</v>
      </c>
      <c r="I282" s="52"/>
      <c r="J282" s="55"/>
    </row>
    <row r="283" spans="1:10" x14ac:dyDescent="0.3">
      <c r="A283" s="56" t="s">
        <v>279</v>
      </c>
      <c r="B283" s="57" t="s">
        <v>316</v>
      </c>
      <c r="C283" s="57" t="s">
        <v>390</v>
      </c>
      <c r="D283" s="57">
        <v>4905</v>
      </c>
      <c r="E283" s="57">
        <v>97772</v>
      </c>
      <c r="F283" s="57">
        <v>98100</v>
      </c>
      <c r="G283" s="57"/>
      <c r="H283" s="59" t="s">
        <v>318</v>
      </c>
      <c r="I283" s="57"/>
      <c r="J283" s="60"/>
    </row>
    <row r="284" spans="1:10" x14ac:dyDescent="0.3">
      <c r="A284" s="51" t="s">
        <v>280</v>
      </c>
      <c r="B284" s="52" t="s">
        <v>316</v>
      </c>
      <c r="C284" s="52" t="s">
        <v>378</v>
      </c>
      <c r="D284" s="52">
        <v>4275</v>
      </c>
      <c r="E284" s="52">
        <v>63650</v>
      </c>
      <c r="F284" s="52">
        <v>64125</v>
      </c>
      <c r="G284" s="52"/>
      <c r="H284" s="54" t="s">
        <v>322</v>
      </c>
      <c r="I284" s="52" t="s">
        <v>318</v>
      </c>
      <c r="J284" s="55" t="s">
        <v>523</v>
      </c>
    </row>
    <row r="285" spans="1:10" x14ac:dyDescent="0.3">
      <c r="A285" s="56" t="s">
        <v>281</v>
      </c>
      <c r="B285" s="57" t="s">
        <v>316</v>
      </c>
      <c r="C285" s="57" t="s">
        <v>511</v>
      </c>
      <c r="D285" s="57">
        <v>3166</v>
      </c>
      <c r="E285" s="57">
        <v>56125</v>
      </c>
      <c r="F285" s="57">
        <v>56988</v>
      </c>
      <c r="G285" s="57"/>
      <c r="H285" s="59" t="s">
        <v>322</v>
      </c>
      <c r="I285" s="57"/>
      <c r="J285" s="60"/>
    </row>
    <row r="286" spans="1:10" x14ac:dyDescent="0.3">
      <c r="A286" s="51" t="s">
        <v>282</v>
      </c>
      <c r="B286" s="52" t="s">
        <v>319</v>
      </c>
      <c r="C286" s="52" t="s">
        <v>512</v>
      </c>
      <c r="D286" s="52">
        <v>1488</v>
      </c>
      <c r="E286" s="52">
        <v>18395</v>
      </c>
      <c r="F286" s="52">
        <v>19344</v>
      </c>
      <c r="G286" s="52"/>
      <c r="H286" s="54" t="s">
        <v>333</v>
      </c>
      <c r="I286" s="52"/>
      <c r="J286" s="55"/>
    </row>
    <row r="287" spans="1:10" x14ac:dyDescent="0.3">
      <c r="A287" s="56" t="s">
        <v>283</v>
      </c>
      <c r="B287" s="57" t="s">
        <v>311</v>
      </c>
      <c r="C287" s="57" t="s">
        <v>513</v>
      </c>
      <c r="D287" s="57">
        <v>3367</v>
      </c>
      <c r="E287" s="57">
        <v>63789</v>
      </c>
      <c r="F287" s="57">
        <v>63973</v>
      </c>
      <c r="G287" s="57"/>
      <c r="H287" s="59" t="s">
        <v>333</v>
      </c>
      <c r="I287" s="57"/>
      <c r="J287" s="60"/>
    </row>
    <row r="288" spans="1:10" x14ac:dyDescent="0.3">
      <c r="A288" s="51" t="s">
        <v>284</v>
      </c>
      <c r="B288" s="52" t="s">
        <v>311</v>
      </c>
      <c r="C288" s="52" t="s">
        <v>350</v>
      </c>
      <c r="D288" s="52">
        <v>571</v>
      </c>
      <c r="E288" s="52">
        <v>9418</v>
      </c>
      <c r="F288" s="52">
        <v>9707</v>
      </c>
      <c r="G288" s="52"/>
      <c r="H288" s="54" t="s">
        <v>318</v>
      </c>
      <c r="I288" s="52"/>
      <c r="J288" s="55"/>
    </row>
    <row r="289" spans="1:10" x14ac:dyDescent="0.3">
      <c r="A289" s="56" t="s">
        <v>285</v>
      </c>
      <c r="B289" s="57" t="s">
        <v>316</v>
      </c>
      <c r="C289" s="57" t="s">
        <v>479</v>
      </c>
      <c r="D289" s="57">
        <v>4021</v>
      </c>
      <c r="E289" s="57">
        <v>35505</v>
      </c>
      <c r="F289" s="57">
        <v>36189</v>
      </c>
      <c r="G289" s="57"/>
      <c r="H289" s="59" t="s">
        <v>322</v>
      </c>
      <c r="I289" s="57"/>
      <c r="J289" s="60"/>
    </row>
    <row r="290" spans="1:10" x14ac:dyDescent="0.3">
      <c r="A290" s="51" t="s">
        <v>286</v>
      </c>
      <c r="B290" s="52" t="s">
        <v>316</v>
      </c>
      <c r="C290" s="52" t="s">
        <v>514</v>
      </c>
      <c r="D290" s="52">
        <v>3389</v>
      </c>
      <c r="E290" s="52">
        <v>19443</v>
      </c>
      <c r="F290" s="52">
        <v>20334</v>
      </c>
      <c r="G290" s="52"/>
      <c r="H290" s="54" t="s">
        <v>333</v>
      </c>
      <c r="I290" s="52"/>
      <c r="J290" s="55"/>
    </row>
    <row r="291" spans="1:10" x14ac:dyDescent="0.3">
      <c r="A291" s="56" t="s">
        <v>287</v>
      </c>
      <c r="B291" s="57" t="s">
        <v>319</v>
      </c>
      <c r="C291" s="57" t="s">
        <v>470</v>
      </c>
      <c r="D291" s="57">
        <v>1164</v>
      </c>
      <c r="E291" s="57">
        <v>6636</v>
      </c>
      <c r="F291" s="57">
        <v>6984</v>
      </c>
      <c r="G291" s="57"/>
      <c r="H291" s="59" t="s">
        <v>322</v>
      </c>
      <c r="I291" s="57"/>
      <c r="J291" s="60"/>
    </row>
    <row r="292" spans="1:10" x14ac:dyDescent="0.3">
      <c r="A292" s="51" t="s">
        <v>288</v>
      </c>
      <c r="B292" s="52" t="s">
        <v>316</v>
      </c>
      <c r="C292" s="52" t="s">
        <v>515</v>
      </c>
      <c r="D292" s="52">
        <v>4780</v>
      </c>
      <c r="E292" s="52">
        <v>85743</v>
      </c>
      <c r="F292" s="52">
        <v>86040</v>
      </c>
      <c r="G292" s="52"/>
      <c r="H292" s="54" t="s">
        <v>333</v>
      </c>
      <c r="I292" s="52"/>
      <c r="J292" s="55"/>
    </row>
    <row r="293" spans="1:10" x14ac:dyDescent="0.3">
      <c r="A293" s="56" t="s">
        <v>289</v>
      </c>
      <c r="B293" s="57" t="s">
        <v>324</v>
      </c>
      <c r="C293" s="57" t="s">
        <v>435</v>
      </c>
      <c r="D293" s="57">
        <v>2751</v>
      </c>
      <c r="E293" s="57">
        <v>43415</v>
      </c>
      <c r="F293" s="57">
        <v>44016</v>
      </c>
      <c r="G293" s="57"/>
      <c r="H293" s="59" t="s">
        <v>333</v>
      </c>
      <c r="I293" s="57"/>
      <c r="J293" s="60"/>
    </row>
    <row r="294" spans="1:10" x14ac:dyDescent="0.3">
      <c r="A294" s="51" t="s">
        <v>290</v>
      </c>
      <c r="B294" s="52" t="s">
        <v>319</v>
      </c>
      <c r="C294" s="52" t="s">
        <v>516</v>
      </c>
      <c r="D294" s="52">
        <v>2107</v>
      </c>
      <c r="E294" s="52">
        <v>35340</v>
      </c>
      <c r="F294" s="52">
        <v>35819</v>
      </c>
      <c r="G294" s="52"/>
      <c r="H294" s="54" t="s">
        <v>322</v>
      </c>
      <c r="I294" s="52"/>
      <c r="J294" s="55"/>
    </row>
    <row r="295" spans="1:10" x14ac:dyDescent="0.3">
      <c r="A295" s="56" t="s">
        <v>291</v>
      </c>
      <c r="B295" s="57" t="s">
        <v>324</v>
      </c>
      <c r="C295" s="57" t="s">
        <v>346</v>
      </c>
      <c r="D295" s="57">
        <v>4663</v>
      </c>
      <c r="E295" s="57">
        <v>69596</v>
      </c>
      <c r="F295" s="57">
        <v>69945</v>
      </c>
      <c r="G295" s="57"/>
      <c r="H295" s="59" t="s">
        <v>322</v>
      </c>
      <c r="I295" s="57"/>
      <c r="J295" s="60"/>
    </row>
    <row r="296" spans="1:10" x14ac:dyDescent="0.3">
      <c r="A296" s="51" t="s">
        <v>292</v>
      </c>
      <c r="B296" s="52" t="s">
        <v>324</v>
      </c>
      <c r="C296" s="52" t="s">
        <v>517</v>
      </c>
      <c r="D296" s="52">
        <v>880</v>
      </c>
      <c r="E296" s="52">
        <v>11978</v>
      </c>
      <c r="F296" s="52">
        <v>12320</v>
      </c>
      <c r="G296" s="52"/>
      <c r="H296" s="54" t="s">
        <v>318</v>
      </c>
      <c r="I296" s="52" t="s">
        <v>523</v>
      </c>
      <c r="J296" s="55"/>
    </row>
    <row r="297" spans="1:10" x14ac:dyDescent="0.3">
      <c r="A297" s="56" t="s">
        <v>293</v>
      </c>
      <c r="B297" s="57" t="s">
        <v>324</v>
      </c>
      <c r="C297" s="57" t="s">
        <v>518</v>
      </c>
      <c r="D297" s="57">
        <v>2634</v>
      </c>
      <c r="E297" s="57">
        <v>28102</v>
      </c>
      <c r="F297" s="57">
        <v>28974</v>
      </c>
      <c r="G297" s="57"/>
      <c r="H297" s="59" t="s">
        <v>322</v>
      </c>
      <c r="I297" s="57"/>
      <c r="J297" s="60"/>
    </row>
    <row r="298" spans="1:10" x14ac:dyDescent="0.3">
      <c r="A298" s="51" t="s">
        <v>294</v>
      </c>
      <c r="B298" s="52" t="s">
        <v>324</v>
      </c>
      <c r="C298" s="52" t="s">
        <v>519</v>
      </c>
      <c r="D298" s="52">
        <v>4731</v>
      </c>
      <c r="E298" s="52">
        <v>28185</v>
      </c>
      <c r="F298" s="52">
        <v>28386</v>
      </c>
      <c r="G298" s="52"/>
      <c r="H298" s="54" t="s">
        <v>322</v>
      </c>
      <c r="I298" s="52"/>
      <c r="J298" s="55"/>
    </row>
    <row r="299" spans="1:10" x14ac:dyDescent="0.3">
      <c r="A299" s="56" t="s">
        <v>295</v>
      </c>
      <c r="B299" s="57" t="s">
        <v>311</v>
      </c>
      <c r="C299" s="57" t="s">
        <v>481</v>
      </c>
      <c r="D299" s="57">
        <v>1952</v>
      </c>
      <c r="E299" s="57">
        <v>15403</v>
      </c>
      <c r="F299" s="57">
        <v>15616</v>
      </c>
      <c r="G299" s="57"/>
      <c r="H299" s="59" t="s">
        <v>333</v>
      </c>
      <c r="I299" s="57" t="s">
        <v>318</v>
      </c>
      <c r="J299" s="60" t="s">
        <v>523</v>
      </c>
    </row>
    <row r="300" spans="1:10" x14ac:dyDescent="0.3">
      <c r="A300" s="51" t="s">
        <v>296</v>
      </c>
      <c r="B300" s="52" t="s">
        <v>311</v>
      </c>
      <c r="C300" s="52" t="s">
        <v>520</v>
      </c>
      <c r="D300" s="52">
        <v>3440</v>
      </c>
      <c r="E300" s="52">
        <v>58146</v>
      </c>
      <c r="F300" s="52">
        <v>58480</v>
      </c>
      <c r="G300" s="52"/>
      <c r="H300" s="54" t="s">
        <v>318</v>
      </c>
      <c r="I300" s="52" t="s">
        <v>525</v>
      </c>
      <c r="J300" s="55"/>
    </row>
    <row r="301" spans="1:10" x14ac:dyDescent="0.3">
      <c r="A301" s="56" t="s">
        <v>297</v>
      </c>
      <c r="B301" s="57" t="s">
        <v>311</v>
      </c>
      <c r="C301" s="57" t="s">
        <v>521</v>
      </c>
      <c r="D301" s="57">
        <v>2166</v>
      </c>
      <c r="E301" s="57">
        <v>10245</v>
      </c>
      <c r="F301" s="57">
        <v>10830</v>
      </c>
      <c r="G301" s="57"/>
      <c r="H301" s="59" t="s">
        <v>322</v>
      </c>
      <c r="I301" s="57"/>
      <c r="J301" s="60"/>
    </row>
    <row r="302" spans="1:10" x14ac:dyDescent="0.3">
      <c r="A302" s="51" t="s">
        <v>298</v>
      </c>
      <c r="B302" s="52" t="s">
        <v>324</v>
      </c>
      <c r="C302" s="52" t="s">
        <v>337</v>
      </c>
      <c r="D302" s="52">
        <v>4303</v>
      </c>
      <c r="E302" s="52">
        <v>85823</v>
      </c>
      <c r="F302" s="52">
        <v>86060</v>
      </c>
      <c r="G302" s="52"/>
      <c r="H302" s="54" t="s">
        <v>318</v>
      </c>
      <c r="I302" s="52"/>
      <c r="J302" s="55"/>
    </row>
    <row r="303" spans="1:10" x14ac:dyDescent="0.3">
      <c r="A303" s="56" t="s">
        <v>299</v>
      </c>
      <c r="B303" s="57" t="s">
        <v>324</v>
      </c>
      <c r="C303" s="57" t="s">
        <v>339</v>
      </c>
      <c r="D303" s="57">
        <v>2581</v>
      </c>
      <c r="E303" s="57">
        <v>22331</v>
      </c>
      <c r="F303" s="57">
        <v>23229</v>
      </c>
      <c r="G303" s="57"/>
      <c r="H303" s="59" t="s">
        <v>333</v>
      </c>
      <c r="I303" s="57"/>
      <c r="J303" s="60"/>
    </row>
    <row r="304" spans="1:10" x14ac:dyDescent="0.3">
      <c r="A304" s="61" t="s">
        <v>300</v>
      </c>
      <c r="B304" s="41" t="s">
        <v>311</v>
      </c>
      <c r="C304" s="41" t="s">
        <v>439</v>
      </c>
      <c r="D304" s="41">
        <v>4494</v>
      </c>
      <c r="E304" s="41">
        <v>62688</v>
      </c>
      <c r="F304" s="41">
        <v>62916</v>
      </c>
      <c r="G304" s="41"/>
      <c r="H304" s="62" t="s">
        <v>318</v>
      </c>
      <c r="I304" s="41" t="s">
        <v>322</v>
      </c>
      <c r="J304" s="42" t="s">
        <v>524</v>
      </c>
    </row>
  </sheetData>
  <phoneticPr fontId="9" type="noConversion"/>
  <dataValidations count="4">
    <dataValidation allowBlank="1" showInputMessage="1" showErrorMessage="1" promptTitle="Duplicates" prompt="Removed duplicate post entries" sqref="A5:A304" xr:uid="{60EC8DEA-E095-46D4-9997-4E029F488036}"/>
    <dataValidation allowBlank="1" showInputMessage="1" showErrorMessage="1" prompt="Standardized Platform names and Date formats" sqref="B5:C304" xr:uid="{A0618C2A-E91E-4C75-9DA8-5E9F8D7C1D8E}"/>
    <dataValidation allowBlank="1" showInputMessage="1" showErrorMessage="1" prompt="Columns with proper formatting" sqref="D5:G304" xr:uid="{E1D1EA07-01F0-4AE3-8981-7D0D2256EB3A}"/>
    <dataValidation allowBlank="1" showInputMessage="1" showErrorMessage="1" prompt="Split hashtags into individual tags" sqref="H5:J304" xr:uid="{60F6FB7C-E9D3-498C-ABD3-16EAD11146F8}"/>
  </dataValidations>
  <hyperlinks>
    <hyperlink ref="N11" r:id="rId1" xr:uid="{CB6EB9E8-9499-479B-AE3A-A7FB00C06C8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07ACA-4A2B-40D6-84B6-95E8755BCA74}">
  <dimension ref="A1:S303"/>
  <sheetViews>
    <sheetView topLeftCell="K48" workbookViewId="0">
      <selection activeCell="P63" sqref="P63"/>
    </sheetView>
  </sheetViews>
  <sheetFormatPr defaultRowHeight="14.4" x14ac:dyDescent="0.3"/>
  <cols>
    <col min="1" max="1" width="9.109375" customWidth="1"/>
    <col min="3" max="3" width="12" customWidth="1"/>
    <col min="4" max="4" width="12.88671875" customWidth="1"/>
    <col min="5" max="5" width="14.21875" customWidth="1"/>
    <col min="6" max="7" width="12" customWidth="1"/>
    <col min="8" max="8" width="20.77734375" customWidth="1"/>
    <col min="9" max="9" width="20.88671875" customWidth="1"/>
    <col min="10" max="10" width="19.33203125" customWidth="1"/>
    <col min="11" max="11" width="12.109375" customWidth="1"/>
    <col min="12" max="12" width="17.6640625" customWidth="1"/>
    <col min="13" max="13" width="18.5546875" customWidth="1"/>
    <col min="15" max="15" width="25" bestFit="1" customWidth="1"/>
    <col min="16" max="16" width="15.33203125" bestFit="1" customWidth="1"/>
    <col min="17" max="17" width="14.6640625" customWidth="1"/>
    <col min="18" max="18" width="15.6640625" customWidth="1"/>
    <col min="19" max="19" width="17.6640625" customWidth="1"/>
    <col min="20" max="20" width="32.6640625" bestFit="1" customWidth="1"/>
    <col min="21" max="21" width="42.33203125" bestFit="1" customWidth="1"/>
    <col min="22" max="22" width="15.109375" bestFit="1" customWidth="1"/>
    <col min="23" max="23" width="34.21875" bestFit="1" customWidth="1"/>
    <col min="24" max="24" width="30.6640625" bestFit="1" customWidth="1"/>
    <col min="25" max="25" width="35.88671875" bestFit="1" customWidth="1"/>
    <col min="26" max="26" width="45.44140625" bestFit="1" customWidth="1"/>
    <col min="27" max="27" width="15" bestFit="1" customWidth="1"/>
    <col min="28" max="28" width="34.109375" bestFit="1" customWidth="1"/>
    <col min="29" max="29" width="30.5546875" bestFit="1" customWidth="1"/>
    <col min="30" max="30" width="30" bestFit="1" customWidth="1"/>
    <col min="31" max="31" width="49" bestFit="1" customWidth="1"/>
    <col min="32" max="32" width="35.77734375" bestFit="1" customWidth="1"/>
    <col min="33" max="33" width="45.33203125" bestFit="1" customWidth="1"/>
    <col min="34" max="34" width="10.77734375" bestFit="1" customWidth="1"/>
    <col min="35" max="56" width="4" bestFit="1" customWidth="1"/>
    <col min="57" max="308" width="5" bestFit="1" customWidth="1"/>
    <col min="309" max="309" width="10.77734375" bestFit="1" customWidth="1"/>
  </cols>
  <sheetData>
    <row r="1" spans="1:19" ht="18" x14ac:dyDescent="0.35">
      <c r="D1" s="1" t="s">
        <v>526</v>
      </c>
      <c r="K1" s="1"/>
    </row>
    <row r="3" spans="1:19" ht="28.8" x14ac:dyDescent="0.3">
      <c r="A3" s="2" t="s">
        <v>304</v>
      </c>
      <c r="B3" s="2" t="s">
        <v>305</v>
      </c>
      <c r="C3" s="4" t="s">
        <v>306</v>
      </c>
      <c r="D3" s="4" t="s">
        <v>307</v>
      </c>
      <c r="E3" s="4" t="s">
        <v>303</v>
      </c>
      <c r="F3" s="4" t="s">
        <v>301</v>
      </c>
      <c r="G3" s="2" t="s">
        <v>309</v>
      </c>
      <c r="H3" s="6" t="s">
        <v>310</v>
      </c>
      <c r="I3" s="10" t="s">
        <v>541</v>
      </c>
      <c r="J3" s="10" t="s">
        <v>542</v>
      </c>
      <c r="K3" s="4" t="s">
        <v>528</v>
      </c>
      <c r="L3" s="10" t="s">
        <v>527</v>
      </c>
      <c r="M3" s="10" t="s">
        <v>529</v>
      </c>
    </row>
    <row r="4" spans="1:19" x14ac:dyDescent="0.3">
      <c r="A4" s="3">
        <v>1461</v>
      </c>
      <c r="B4" s="3">
        <v>184</v>
      </c>
      <c r="C4" s="3">
        <v>344</v>
      </c>
      <c r="D4" s="3">
        <v>21915</v>
      </c>
      <c r="E4" s="3" t="s">
        <v>313</v>
      </c>
      <c r="F4" s="3" t="s">
        <v>311</v>
      </c>
      <c r="G4" s="3">
        <v>15</v>
      </c>
      <c r="H4" s="9" t="s">
        <v>333</v>
      </c>
      <c r="I4" t="s">
        <v>523</v>
      </c>
      <c r="K4">
        <f t="shared" ref="K4:K67" si="0">SUM(A4+B4+C4)</f>
        <v>1989</v>
      </c>
      <c r="L4">
        <f t="shared" ref="L4:L67" si="1">AVERAGE(K4/D4)</f>
        <v>9.0759753593429152E-2</v>
      </c>
      <c r="M4">
        <v>0.86601941747572819</v>
      </c>
    </row>
    <row r="5" spans="1:19" x14ac:dyDescent="0.3">
      <c r="A5" s="3">
        <v>4054</v>
      </c>
      <c r="B5" s="3">
        <v>389</v>
      </c>
      <c r="C5" s="3">
        <v>493</v>
      </c>
      <c r="D5" s="3">
        <v>64864</v>
      </c>
      <c r="E5" s="3" t="s">
        <v>315</v>
      </c>
      <c r="F5" s="3" t="s">
        <v>311</v>
      </c>
      <c r="G5" s="3">
        <v>117</v>
      </c>
      <c r="H5" s="9" t="s">
        <v>318</v>
      </c>
      <c r="I5" t="s">
        <v>524</v>
      </c>
      <c r="K5">
        <f t="shared" si="0"/>
        <v>4936</v>
      </c>
      <c r="L5">
        <f t="shared" si="1"/>
        <v>7.6097681302417369E-2</v>
      </c>
      <c r="M5">
        <v>0.53773584905660377</v>
      </c>
    </row>
    <row r="6" spans="1:19" x14ac:dyDescent="0.3">
      <c r="A6" s="3">
        <v>2795</v>
      </c>
      <c r="B6" s="3">
        <v>105</v>
      </c>
      <c r="C6" s="3">
        <v>49</v>
      </c>
      <c r="D6" s="3">
        <v>53105</v>
      </c>
      <c r="E6" s="3" t="s">
        <v>313</v>
      </c>
      <c r="F6" s="3" t="s">
        <v>316</v>
      </c>
      <c r="G6" s="3">
        <v>204</v>
      </c>
      <c r="H6" s="9" t="s">
        <v>318</v>
      </c>
      <c r="K6">
        <f t="shared" si="0"/>
        <v>2949</v>
      </c>
      <c r="L6">
        <f t="shared" si="1"/>
        <v>5.5531494209584788E-2</v>
      </c>
      <c r="M6">
        <v>0.38274706867671693</v>
      </c>
    </row>
    <row r="7" spans="1:19" x14ac:dyDescent="0.3">
      <c r="A7" s="3">
        <v>2404</v>
      </c>
      <c r="B7" s="3">
        <v>363</v>
      </c>
      <c r="C7" s="3">
        <v>138</v>
      </c>
      <c r="D7" s="3">
        <v>19232</v>
      </c>
      <c r="E7" s="3" t="s">
        <v>321</v>
      </c>
      <c r="F7" s="3" t="s">
        <v>319</v>
      </c>
      <c r="G7" s="3">
        <v>128</v>
      </c>
      <c r="H7" s="9" t="s">
        <v>322</v>
      </c>
      <c r="K7">
        <f t="shared" si="0"/>
        <v>2905</v>
      </c>
      <c r="L7">
        <f t="shared" si="1"/>
        <v>0.15105033277870217</v>
      </c>
      <c r="M7">
        <v>0.50192307692307692</v>
      </c>
    </row>
    <row r="8" spans="1:19" x14ac:dyDescent="0.3">
      <c r="A8" s="3">
        <v>3557</v>
      </c>
      <c r="B8" s="3">
        <v>687</v>
      </c>
      <c r="C8" s="3">
        <v>424</v>
      </c>
      <c r="D8" s="3">
        <v>71140</v>
      </c>
      <c r="E8" s="3" t="s">
        <v>313</v>
      </c>
      <c r="F8" s="3" t="s">
        <v>316</v>
      </c>
      <c r="G8" s="3">
        <v>224</v>
      </c>
      <c r="H8" s="9" t="s">
        <v>322</v>
      </c>
      <c r="I8" t="s">
        <v>318</v>
      </c>
      <c r="K8">
        <f t="shared" si="0"/>
        <v>4668</v>
      </c>
      <c r="L8">
        <f t="shared" si="1"/>
        <v>6.5617093055946027E-2</v>
      </c>
      <c r="M8">
        <v>0.6508215962441315</v>
      </c>
    </row>
    <row r="9" spans="1:19" ht="18" x14ac:dyDescent="0.35">
      <c r="A9" s="3">
        <v>2945</v>
      </c>
      <c r="B9" s="3">
        <v>930</v>
      </c>
      <c r="C9" s="3">
        <v>355</v>
      </c>
      <c r="D9" s="3">
        <v>23560</v>
      </c>
      <c r="E9" s="3" t="s">
        <v>326</v>
      </c>
      <c r="F9" s="3" t="s">
        <v>324</v>
      </c>
      <c r="G9" s="3">
        <v>256</v>
      </c>
      <c r="H9" s="9" t="s">
        <v>318</v>
      </c>
      <c r="K9">
        <f t="shared" si="0"/>
        <v>4230</v>
      </c>
      <c r="L9">
        <f t="shared" si="1"/>
        <v>0.17954159592529711</v>
      </c>
      <c r="M9">
        <v>0.70387596899224802</v>
      </c>
      <c r="O9" s="14" t="s">
        <v>538</v>
      </c>
    </row>
    <row r="10" spans="1:19" ht="15.6" x14ac:dyDescent="0.3">
      <c r="A10" s="3">
        <v>3860</v>
      </c>
      <c r="B10" s="3">
        <v>201</v>
      </c>
      <c r="C10" s="3">
        <v>279</v>
      </c>
      <c r="D10" s="3">
        <v>61760</v>
      </c>
      <c r="E10" s="3" t="s">
        <v>326</v>
      </c>
      <c r="F10" s="3" t="s">
        <v>311</v>
      </c>
      <c r="G10" s="3">
        <v>235</v>
      </c>
      <c r="H10" s="9" t="s">
        <v>318</v>
      </c>
      <c r="K10">
        <f t="shared" si="0"/>
        <v>4340</v>
      </c>
      <c r="L10">
        <f t="shared" si="1"/>
        <v>7.0272020725388601E-2</v>
      </c>
      <c r="M10">
        <v>0.48518407662376534</v>
      </c>
      <c r="O10" s="15" t="s">
        <v>539</v>
      </c>
    </row>
    <row r="11" spans="1:19" x14ac:dyDescent="0.3">
      <c r="A11" s="3">
        <v>3929</v>
      </c>
      <c r="B11" s="3">
        <v>262</v>
      </c>
      <c r="C11" s="3">
        <v>278</v>
      </c>
      <c r="D11" s="3">
        <v>43219</v>
      </c>
      <c r="E11" s="3" t="s">
        <v>329</v>
      </c>
      <c r="F11" s="3" t="s">
        <v>316</v>
      </c>
      <c r="G11" s="3">
        <v>39</v>
      </c>
      <c r="H11" s="9" t="s">
        <v>322</v>
      </c>
      <c r="K11">
        <f t="shared" si="0"/>
        <v>4469</v>
      </c>
      <c r="L11">
        <f t="shared" si="1"/>
        <v>0.10340359564080613</v>
      </c>
      <c r="M11">
        <v>1.8129251700680271</v>
      </c>
    </row>
    <row r="12" spans="1:19" x14ac:dyDescent="0.3">
      <c r="A12" s="3">
        <v>3784</v>
      </c>
      <c r="B12" s="3">
        <v>808</v>
      </c>
      <c r="C12" s="3">
        <v>404</v>
      </c>
      <c r="D12" s="3">
        <v>56760</v>
      </c>
      <c r="E12" s="3" t="s">
        <v>315</v>
      </c>
      <c r="F12" s="3" t="s">
        <v>324</v>
      </c>
      <c r="G12" s="3">
        <v>131</v>
      </c>
      <c r="H12" s="9" t="s">
        <v>318</v>
      </c>
      <c r="K12">
        <f t="shared" si="0"/>
        <v>4996</v>
      </c>
      <c r="L12">
        <f t="shared" si="1"/>
        <v>8.8019732205778717E-2</v>
      </c>
      <c r="M12">
        <v>0.7168674698795181</v>
      </c>
      <c r="O12" s="11" t="s">
        <v>533</v>
      </c>
      <c r="P12" t="s">
        <v>534</v>
      </c>
      <c r="Q12" t="s">
        <v>535</v>
      </c>
      <c r="R12" t="s">
        <v>536</v>
      </c>
      <c r="S12" t="s">
        <v>537</v>
      </c>
    </row>
    <row r="13" spans="1:19" x14ac:dyDescent="0.3">
      <c r="A13" s="3">
        <v>4241</v>
      </c>
      <c r="B13" s="3">
        <v>902</v>
      </c>
      <c r="C13" s="3">
        <v>47</v>
      </c>
      <c r="D13" s="3">
        <v>72097</v>
      </c>
      <c r="E13" s="3" t="s">
        <v>329</v>
      </c>
      <c r="F13" s="3" t="s">
        <v>324</v>
      </c>
      <c r="G13" s="3">
        <v>167</v>
      </c>
      <c r="H13" s="9" t="s">
        <v>318</v>
      </c>
      <c r="K13">
        <f t="shared" si="0"/>
        <v>5190</v>
      </c>
      <c r="L13">
        <f t="shared" si="1"/>
        <v>7.198635172059864E-2</v>
      </c>
      <c r="M13">
        <v>0.53389830508474578</v>
      </c>
      <c r="O13" s="12" t="s">
        <v>326</v>
      </c>
      <c r="P13">
        <v>161999</v>
      </c>
      <c r="Q13">
        <v>26471</v>
      </c>
      <c r="R13">
        <v>14508</v>
      </c>
      <c r="S13">
        <v>2114733</v>
      </c>
    </row>
    <row r="14" spans="1:19" x14ac:dyDescent="0.3">
      <c r="A14" s="3">
        <v>1792</v>
      </c>
      <c r="B14" s="3">
        <v>614</v>
      </c>
      <c r="C14" s="3">
        <v>497</v>
      </c>
      <c r="D14" s="3">
        <v>25088</v>
      </c>
      <c r="E14" s="3" t="s">
        <v>321</v>
      </c>
      <c r="F14" s="3" t="s">
        <v>319</v>
      </c>
      <c r="G14" s="3">
        <v>65</v>
      </c>
      <c r="H14" s="9" t="s">
        <v>333</v>
      </c>
      <c r="K14">
        <f t="shared" si="0"/>
        <v>2903</v>
      </c>
      <c r="L14">
        <f t="shared" si="1"/>
        <v>0.11571269132653061</v>
      </c>
      <c r="O14" s="13" t="s">
        <v>324</v>
      </c>
      <c r="P14">
        <v>44476</v>
      </c>
      <c r="Q14">
        <v>7400</v>
      </c>
      <c r="R14">
        <v>4589</v>
      </c>
      <c r="S14">
        <v>565471</v>
      </c>
    </row>
    <row r="15" spans="1:19" x14ac:dyDescent="0.3">
      <c r="A15" s="3">
        <v>1946</v>
      </c>
      <c r="B15" s="3">
        <v>686</v>
      </c>
      <c r="C15" s="3">
        <v>377</v>
      </c>
      <c r="D15" s="3">
        <v>23352</v>
      </c>
      <c r="E15" s="3" t="s">
        <v>313</v>
      </c>
      <c r="F15" s="3" t="s">
        <v>324</v>
      </c>
      <c r="G15" s="3">
        <v>213</v>
      </c>
      <c r="H15" s="9" t="s">
        <v>333</v>
      </c>
      <c r="K15">
        <f t="shared" si="0"/>
        <v>3009</v>
      </c>
      <c r="L15">
        <f t="shared" si="1"/>
        <v>0.12885405960945528</v>
      </c>
      <c r="O15" s="13" t="s">
        <v>319</v>
      </c>
      <c r="P15">
        <v>43948</v>
      </c>
      <c r="Q15">
        <v>6975</v>
      </c>
      <c r="R15">
        <v>3890</v>
      </c>
      <c r="S15">
        <v>535084</v>
      </c>
    </row>
    <row r="16" spans="1:19" x14ac:dyDescent="0.3">
      <c r="A16" s="3">
        <v>1171</v>
      </c>
      <c r="B16" s="3">
        <v>286</v>
      </c>
      <c r="C16" s="3">
        <v>231</v>
      </c>
      <c r="D16" s="3">
        <v>22249</v>
      </c>
      <c r="E16" s="3" t="s">
        <v>326</v>
      </c>
      <c r="F16" s="3" t="s">
        <v>316</v>
      </c>
      <c r="G16" s="3">
        <v>114</v>
      </c>
      <c r="H16" s="9" t="s">
        <v>322</v>
      </c>
      <c r="K16">
        <f t="shared" si="0"/>
        <v>1688</v>
      </c>
      <c r="L16">
        <f t="shared" si="1"/>
        <v>7.5868578363072495E-2</v>
      </c>
      <c r="O16" s="13" t="s">
        <v>311</v>
      </c>
      <c r="P16">
        <v>48649</v>
      </c>
      <c r="Q16">
        <v>5791</v>
      </c>
      <c r="R16">
        <v>3607</v>
      </c>
      <c r="S16">
        <v>618040</v>
      </c>
    </row>
    <row r="17" spans="1:19" x14ac:dyDescent="0.3">
      <c r="A17" s="3">
        <v>4242</v>
      </c>
      <c r="B17" s="3">
        <v>555</v>
      </c>
      <c r="C17" s="3">
        <v>131</v>
      </c>
      <c r="D17" s="3">
        <v>33936</v>
      </c>
      <c r="E17" s="3" t="s">
        <v>321</v>
      </c>
      <c r="F17" s="3" t="s">
        <v>324</v>
      </c>
      <c r="G17" s="3">
        <v>265</v>
      </c>
      <c r="H17" s="9" t="s">
        <v>333</v>
      </c>
      <c r="K17">
        <f t="shared" si="0"/>
        <v>4928</v>
      </c>
      <c r="L17">
        <f t="shared" si="1"/>
        <v>0.14521452145214522</v>
      </c>
      <c r="O17" s="13" t="s">
        <v>316</v>
      </c>
      <c r="P17">
        <v>24926</v>
      </c>
      <c r="Q17">
        <v>6305</v>
      </c>
      <c r="R17">
        <v>2422</v>
      </c>
      <c r="S17">
        <v>396138</v>
      </c>
    </row>
    <row r="18" spans="1:19" x14ac:dyDescent="0.3">
      <c r="A18" s="3">
        <v>3888</v>
      </c>
      <c r="B18" s="3">
        <v>604</v>
      </c>
      <c r="C18" s="3">
        <v>128</v>
      </c>
      <c r="D18" s="3">
        <v>77760</v>
      </c>
      <c r="E18" s="3" t="s">
        <v>338</v>
      </c>
      <c r="F18" s="3" t="s">
        <v>324</v>
      </c>
      <c r="G18" s="3">
        <v>20</v>
      </c>
      <c r="H18" s="9" t="s">
        <v>333</v>
      </c>
      <c r="K18">
        <f t="shared" si="0"/>
        <v>4620</v>
      </c>
      <c r="L18">
        <f t="shared" si="1"/>
        <v>5.941358024691358E-2</v>
      </c>
      <c r="O18" s="12" t="s">
        <v>329</v>
      </c>
      <c r="P18">
        <v>173468</v>
      </c>
      <c r="Q18">
        <v>29610</v>
      </c>
      <c r="R18">
        <v>16352</v>
      </c>
      <c r="S18">
        <v>2260243</v>
      </c>
    </row>
    <row r="19" spans="1:19" x14ac:dyDescent="0.3">
      <c r="A19" s="3">
        <v>3452</v>
      </c>
      <c r="B19" s="3">
        <v>377</v>
      </c>
      <c r="C19" s="3">
        <v>360</v>
      </c>
      <c r="D19" s="3">
        <v>55232</v>
      </c>
      <c r="E19" s="3" t="s">
        <v>315</v>
      </c>
      <c r="F19" s="3" t="s">
        <v>324</v>
      </c>
      <c r="G19" s="3">
        <v>87</v>
      </c>
      <c r="H19" s="9" t="s">
        <v>333</v>
      </c>
      <c r="K19">
        <f t="shared" si="0"/>
        <v>4189</v>
      </c>
      <c r="L19">
        <f t="shared" si="1"/>
        <v>7.5843713789107758E-2</v>
      </c>
      <c r="O19" s="13" t="s">
        <v>324</v>
      </c>
      <c r="P19">
        <v>71602</v>
      </c>
      <c r="Q19">
        <v>12904</v>
      </c>
      <c r="R19">
        <v>6495</v>
      </c>
      <c r="S19">
        <v>991649</v>
      </c>
    </row>
    <row r="20" spans="1:19" x14ac:dyDescent="0.3">
      <c r="A20" s="3">
        <v>4441</v>
      </c>
      <c r="B20" s="3">
        <v>511</v>
      </c>
      <c r="C20" s="3">
        <v>70</v>
      </c>
      <c r="D20" s="3">
        <v>53292</v>
      </c>
      <c r="E20" s="3" t="s">
        <v>315</v>
      </c>
      <c r="F20" s="3" t="s">
        <v>324</v>
      </c>
      <c r="G20" s="3">
        <v>159</v>
      </c>
      <c r="H20" s="9" t="s">
        <v>322</v>
      </c>
      <c r="K20">
        <f t="shared" si="0"/>
        <v>5022</v>
      </c>
      <c r="L20">
        <f t="shared" si="1"/>
        <v>9.4235532537716729E-2</v>
      </c>
      <c r="O20" s="13" t="s">
        <v>319</v>
      </c>
      <c r="P20">
        <v>34202</v>
      </c>
      <c r="Q20">
        <v>5286</v>
      </c>
      <c r="R20">
        <v>2655</v>
      </c>
      <c r="S20">
        <v>393539</v>
      </c>
    </row>
    <row r="21" spans="1:19" x14ac:dyDescent="0.3">
      <c r="A21" s="3">
        <v>3000</v>
      </c>
      <c r="B21" s="3">
        <v>382</v>
      </c>
      <c r="C21" s="3">
        <v>325</v>
      </c>
      <c r="D21" s="3">
        <v>36000</v>
      </c>
      <c r="E21" s="3" t="s">
        <v>313</v>
      </c>
      <c r="F21" s="3" t="s">
        <v>319</v>
      </c>
      <c r="G21" s="3">
        <v>19</v>
      </c>
      <c r="H21" s="9" t="s">
        <v>333</v>
      </c>
      <c r="K21">
        <f t="shared" si="0"/>
        <v>3707</v>
      </c>
      <c r="L21">
        <f t="shared" si="1"/>
        <v>0.10297222222222223</v>
      </c>
      <c r="O21" s="13" t="s">
        <v>311</v>
      </c>
      <c r="P21">
        <v>43761</v>
      </c>
      <c r="Q21">
        <v>7110</v>
      </c>
      <c r="R21">
        <v>5125</v>
      </c>
      <c r="S21">
        <v>500458</v>
      </c>
    </row>
    <row r="22" spans="1:19" x14ac:dyDescent="0.3">
      <c r="A22" s="3">
        <v>1071</v>
      </c>
      <c r="B22" s="3">
        <v>519</v>
      </c>
      <c r="C22" s="3">
        <v>22</v>
      </c>
      <c r="D22" s="3">
        <v>16065</v>
      </c>
      <c r="E22" s="3" t="s">
        <v>338</v>
      </c>
      <c r="F22" s="3" t="s">
        <v>319</v>
      </c>
      <c r="G22" s="3">
        <v>103</v>
      </c>
      <c r="H22" s="9" t="s">
        <v>318</v>
      </c>
      <c r="K22">
        <f t="shared" si="0"/>
        <v>1612</v>
      </c>
      <c r="L22">
        <f t="shared" si="1"/>
        <v>0.10034235916588857</v>
      </c>
      <c r="O22" s="13" t="s">
        <v>316</v>
      </c>
      <c r="P22">
        <v>23903</v>
      </c>
      <c r="Q22">
        <v>4310</v>
      </c>
      <c r="R22">
        <v>2077</v>
      </c>
      <c r="S22">
        <v>374597</v>
      </c>
    </row>
    <row r="23" spans="1:19" x14ac:dyDescent="0.3">
      <c r="A23" s="3">
        <v>4054</v>
      </c>
      <c r="B23" s="3">
        <v>488</v>
      </c>
      <c r="C23" s="3">
        <v>373</v>
      </c>
      <c r="D23" s="3">
        <v>77026</v>
      </c>
      <c r="E23" s="3" t="s">
        <v>326</v>
      </c>
      <c r="F23" s="3" t="s">
        <v>319</v>
      </c>
      <c r="G23" s="3">
        <v>25</v>
      </c>
      <c r="H23" s="9" t="s">
        <v>318</v>
      </c>
      <c r="K23">
        <f t="shared" si="0"/>
        <v>4915</v>
      </c>
      <c r="L23">
        <f t="shared" si="1"/>
        <v>6.3809622724794221E-2</v>
      </c>
      <c r="O23" s="12" t="s">
        <v>313</v>
      </c>
      <c r="P23">
        <v>127945</v>
      </c>
      <c r="Q23">
        <v>23201</v>
      </c>
      <c r="R23">
        <v>11320</v>
      </c>
      <c r="S23">
        <v>1655786</v>
      </c>
    </row>
    <row r="24" spans="1:19" x14ac:dyDescent="0.3">
      <c r="A24" s="3">
        <v>4838</v>
      </c>
      <c r="B24" s="3">
        <v>640</v>
      </c>
      <c r="C24" s="3">
        <v>128</v>
      </c>
      <c r="D24" s="3">
        <v>72570</v>
      </c>
      <c r="E24" s="3" t="s">
        <v>313</v>
      </c>
      <c r="F24" s="3" t="s">
        <v>319</v>
      </c>
      <c r="G24" s="3">
        <v>83</v>
      </c>
      <c r="H24" s="9" t="s">
        <v>333</v>
      </c>
      <c r="K24">
        <f t="shared" si="0"/>
        <v>5606</v>
      </c>
      <c r="L24">
        <f t="shared" si="1"/>
        <v>7.7249552156538517E-2</v>
      </c>
      <c r="O24" s="13" t="s">
        <v>324</v>
      </c>
      <c r="P24">
        <v>36368</v>
      </c>
      <c r="Q24">
        <v>5964</v>
      </c>
      <c r="R24">
        <v>3353</v>
      </c>
      <c r="S24">
        <v>488366</v>
      </c>
    </row>
    <row r="25" spans="1:19" x14ac:dyDescent="0.3">
      <c r="A25" s="3">
        <v>1570</v>
      </c>
      <c r="B25" s="3">
        <v>187</v>
      </c>
      <c r="C25" s="3">
        <v>260</v>
      </c>
      <c r="D25" s="3">
        <v>25120</v>
      </c>
      <c r="E25" s="3" t="s">
        <v>315</v>
      </c>
      <c r="F25" s="3" t="s">
        <v>324</v>
      </c>
      <c r="G25" s="3">
        <v>133</v>
      </c>
      <c r="H25" s="9" t="s">
        <v>318</v>
      </c>
      <c r="K25">
        <f t="shared" si="0"/>
        <v>2017</v>
      </c>
      <c r="L25">
        <f t="shared" si="1"/>
        <v>8.0294585987261149E-2</v>
      </c>
      <c r="O25" s="13" t="s">
        <v>319</v>
      </c>
      <c r="P25">
        <v>32148</v>
      </c>
      <c r="Q25">
        <v>8110</v>
      </c>
      <c r="R25">
        <v>3386</v>
      </c>
      <c r="S25">
        <v>339011</v>
      </c>
    </row>
    <row r="26" spans="1:19" x14ac:dyDescent="0.3">
      <c r="A26" s="3">
        <v>1606</v>
      </c>
      <c r="B26" s="3">
        <v>547</v>
      </c>
      <c r="C26" s="3">
        <v>316</v>
      </c>
      <c r="D26" s="3">
        <v>32120</v>
      </c>
      <c r="E26" s="3" t="s">
        <v>338</v>
      </c>
      <c r="F26" s="3" t="s">
        <v>324</v>
      </c>
      <c r="G26" s="3">
        <v>225</v>
      </c>
      <c r="H26" s="9" t="s">
        <v>318</v>
      </c>
      <c r="I26" t="s">
        <v>523</v>
      </c>
      <c r="K26">
        <f t="shared" si="0"/>
        <v>2469</v>
      </c>
      <c r="L26">
        <f t="shared" si="1"/>
        <v>7.6867995018679955E-2</v>
      </c>
      <c r="O26" s="13" t="s">
        <v>311</v>
      </c>
      <c r="P26">
        <v>27029</v>
      </c>
      <c r="Q26">
        <v>4550</v>
      </c>
      <c r="R26">
        <v>1913</v>
      </c>
      <c r="S26">
        <v>415343</v>
      </c>
    </row>
    <row r="27" spans="1:19" x14ac:dyDescent="0.3">
      <c r="A27" s="3">
        <v>3961</v>
      </c>
      <c r="B27" s="3">
        <v>761</v>
      </c>
      <c r="C27" s="3">
        <v>131</v>
      </c>
      <c r="D27" s="3">
        <v>67337</v>
      </c>
      <c r="E27" s="3" t="s">
        <v>338</v>
      </c>
      <c r="F27" s="3" t="s">
        <v>324</v>
      </c>
      <c r="G27" s="3">
        <v>161</v>
      </c>
      <c r="H27" s="9" t="s">
        <v>333</v>
      </c>
      <c r="K27">
        <f t="shared" si="0"/>
        <v>4853</v>
      </c>
      <c r="L27">
        <f t="shared" si="1"/>
        <v>7.2070332803659209E-2</v>
      </c>
      <c r="O27" s="13" t="s">
        <v>316</v>
      </c>
      <c r="P27">
        <v>32400</v>
      </c>
      <c r="Q27">
        <v>4577</v>
      </c>
      <c r="R27">
        <v>2668</v>
      </c>
      <c r="S27">
        <v>413066</v>
      </c>
    </row>
    <row r="28" spans="1:19" x14ac:dyDescent="0.3">
      <c r="A28" s="3">
        <v>3128</v>
      </c>
      <c r="B28" s="3">
        <v>211</v>
      </c>
      <c r="C28" s="3">
        <v>197</v>
      </c>
      <c r="D28" s="3">
        <v>59432</v>
      </c>
      <c r="E28" s="3" t="s">
        <v>326</v>
      </c>
      <c r="F28" s="3" t="s">
        <v>311</v>
      </c>
      <c r="G28" s="3">
        <v>238</v>
      </c>
      <c r="H28" s="9" t="s">
        <v>322</v>
      </c>
      <c r="K28">
        <f t="shared" si="0"/>
        <v>3536</v>
      </c>
      <c r="L28">
        <f t="shared" si="1"/>
        <v>5.9496567505720827E-2</v>
      </c>
      <c r="O28" s="12" t="s">
        <v>321</v>
      </c>
      <c r="P28">
        <v>124488</v>
      </c>
      <c r="Q28">
        <v>23955</v>
      </c>
      <c r="R28">
        <v>12107</v>
      </c>
      <c r="S28">
        <v>1480656</v>
      </c>
    </row>
    <row r="29" spans="1:19" x14ac:dyDescent="0.3">
      <c r="A29" s="3">
        <v>3009</v>
      </c>
      <c r="B29" s="3">
        <v>413</v>
      </c>
      <c r="C29" s="3">
        <v>358</v>
      </c>
      <c r="D29" s="3">
        <v>42126</v>
      </c>
      <c r="E29" s="3" t="s">
        <v>313</v>
      </c>
      <c r="F29" s="3" t="s">
        <v>316</v>
      </c>
      <c r="G29" s="3">
        <v>211</v>
      </c>
      <c r="H29" s="9" t="s">
        <v>333</v>
      </c>
      <c r="K29">
        <f t="shared" si="0"/>
        <v>3780</v>
      </c>
      <c r="L29">
        <f t="shared" si="1"/>
        <v>8.9730807577268201E-2</v>
      </c>
      <c r="O29" s="13" t="s">
        <v>324</v>
      </c>
      <c r="P29">
        <v>29405</v>
      </c>
      <c r="Q29">
        <v>4950</v>
      </c>
      <c r="R29">
        <v>3223</v>
      </c>
      <c r="S29">
        <v>318662</v>
      </c>
    </row>
    <row r="30" spans="1:19" x14ac:dyDescent="0.3">
      <c r="A30" s="3">
        <v>2076</v>
      </c>
      <c r="B30" s="3">
        <v>195</v>
      </c>
      <c r="C30" s="3">
        <v>104</v>
      </c>
      <c r="D30" s="3">
        <v>33216</v>
      </c>
      <c r="E30" s="3" t="s">
        <v>315</v>
      </c>
      <c r="F30" s="3" t="s">
        <v>316</v>
      </c>
      <c r="G30" s="3">
        <v>51</v>
      </c>
      <c r="H30" s="9" t="s">
        <v>333</v>
      </c>
      <c r="K30">
        <f t="shared" si="0"/>
        <v>2375</v>
      </c>
      <c r="L30">
        <f t="shared" si="1"/>
        <v>7.1501685934489398E-2</v>
      </c>
      <c r="O30" s="13" t="s">
        <v>319</v>
      </c>
      <c r="P30">
        <v>42649</v>
      </c>
      <c r="Q30">
        <v>10049</v>
      </c>
      <c r="R30">
        <v>3846</v>
      </c>
      <c r="S30">
        <v>510764</v>
      </c>
    </row>
    <row r="31" spans="1:19" x14ac:dyDescent="0.3">
      <c r="A31" s="3">
        <v>432</v>
      </c>
      <c r="B31" s="3">
        <v>624</v>
      </c>
      <c r="C31" s="3">
        <v>123</v>
      </c>
      <c r="D31" s="3">
        <v>6912</v>
      </c>
      <c r="E31" s="3" t="s">
        <v>338</v>
      </c>
      <c r="F31" s="3" t="s">
        <v>319</v>
      </c>
      <c r="G31" s="3">
        <v>79</v>
      </c>
      <c r="H31" s="9" t="s">
        <v>333</v>
      </c>
      <c r="K31">
        <f t="shared" si="0"/>
        <v>1179</v>
      </c>
      <c r="L31">
        <f t="shared" si="1"/>
        <v>0.17057291666666666</v>
      </c>
      <c r="O31" s="13" t="s">
        <v>311</v>
      </c>
      <c r="P31">
        <v>20466</v>
      </c>
      <c r="Q31">
        <v>5090</v>
      </c>
      <c r="R31">
        <v>3026</v>
      </c>
      <c r="S31">
        <v>228736</v>
      </c>
    </row>
    <row r="32" spans="1:19" x14ac:dyDescent="0.3">
      <c r="A32" s="3">
        <v>2566</v>
      </c>
      <c r="B32" s="3">
        <v>118</v>
      </c>
      <c r="C32" s="3">
        <v>37</v>
      </c>
      <c r="D32" s="3">
        <v>12830</v>
      </c>
      <c r="E32" s="3" t="s">
        <v>326</v>
      </c>
      <c r="F32" s="3" t="s">
        <v>319</v>
      </c>
      <c r="G32" s="3">
        <v>221</v>
      </c>
      <c r="H32" s="9" t="s">
        <v>333</v>
      </c>
      <c r="K32">
        <f t="shared" si="0"/>
        <v>2721</v>
      </c>
      <c r="L32">
        <f t="shared" si="1"/>
        <v>0.21208106001558846</v>
      </c>
      <c r="O32" s="13" t="s">
        <v>316</v>
      </c>
      <c r="P32">
        <v>31968</v>
      </c>
      <c r="Q32">
        <v>3866</v>
      </c>
      <c r="R32">
        <v>2012</v>
      </c>
      <c r="S32">
        <v>422494</v>
      </c>
    </row>
    <row r="33" spans="1:19" x14ac:dyDescent="0.3">
      <c r="A33" s="3">
        <v>3095</v>
      </c>
      <c r="B33" s="3">
        <v>39</v>
      </c>
      <c r="C33" s="3">
        <v>78</v>
      </c>
      <c r="D33" s="3">
        <v>55710</v>
      </c>
      <c r="E33" s="3" t="s">
        <v>338</v>
      </c>
      <c r="F33" s="3" t="s">
        <v>319</v>
      </c>
      <c r="G33" s="3">
        <v>93</v>
      </c>
      <c r="H33" s="9" t="s">
        <v>322</v>
      </c>
      <c r="K33">
        <f t="shared" si="0"/>
        <v>3212</v>
      </c>
      <c r="L33">
        <f t="shared" si="1"/>
        <v>5.7655717106444085E-2</v>
      </c>
      <c r="O33" s="12" t="s">
        <v>315</v>
      </c>
      <c r="P33">
        <v>116496</v>
      </c>
      <c r="Q33">
        <v>18693</v>
      </c>
      <c r="R33">
        <v>10285</v>
      </c>
      <c r="S33">
        <v>1480458</v>
      </c>
    </row>
    <row r="34" spans="1:19" x14ac:dyDescent="0.3">
      <c r="A34" s="3">
        <v>438</v>
      </c>
      <c r="B34" s="3">
        <v>153</v>
      </c>
      <c r="C34" s="3">
        <v>275</v>
      </c>
      <c r="D34" s="3">
        <v>3066</v>
      </c>
      <c r="E34" s="3" t="s">
        <v>315</v>
      </c>
      <c r="F34" s="3" t="s">
        <v>319</v>
      </c>
      <c r="G34" s="3">
        <v>282</v>
      </c>
      <c r="H34" s="9" t="s">
        <v>318</v>
      </c>
      <c r="K34">
        <f t="shared" si="0"/>
        <v>866</v>
      </c>
      <c r="L34">
        <f t="shared" si="1"/>
        <v>0.28245270711024134</v>
      </c>
      <c r="O34" s="13" t="s">
        <v>324</v>
      </c>
      <c r="P34">
        <v>31963</v>
      </c>
      <c r="Q34">
        <v>4792</v>
      </c>
      <c r="R34">
        <v>3377</v>
      </c>
      <c r="S34">
        <v>451526</v>
      </c>
    </row>
    <row r="35" spans="1:19" x14ac:dyDescent="0.3">
      <c r="A35" s="3">
        <v>2278</v>
      </c>
      <c r="B35" s="3">
        <v>10</v>
      </c>
      <c r="C35" s="3">
        <v>321</v>
      </c>
      <c r="D35" s="3">
        <v>13668</v>
      </c>
      <c r="E35" s="3" t="s">
        <v>326</v>
      </c>
      <c r="F35" s="3" t="s">
        <v>311</v>
      </c>
      <c r="G35" s="3">
        <v>275</v>
      </c>
      <c r="H35" s="9" t="s">
        <v>322</v>
      </c>
      <c r="K35">
        <f t="shared" si="0"/>
        <v>2609</v>
      </c>
      <c r="L35">
        <f t="shared" si="1"/>
        <v>0.19088381621305239</v>
      </c>
      <c r="O35" s="13" t="s">
        <v>319</v>
      </c>
      <c r="P35">
        <v>25567</v>
      </c>
      <c r="Q35">
        <v>5112</v>
      </c>
      <c r="R35">
        <v>1946</v>
      </c>
      <c r="S35">
        <v>310559</v>
      </c>
    </row>
    <row r="36" spans="1:19" x14ac:dyDescent="0.3">
      <c r="A36" s="3">
        <v>1407</v>
      </c>
      <c r="B36" s="3">
        <v>400</v>
      </c>
      <c r="C36" s="3">
        <v>351</v>
      </c>
      <c r="D36" s="3">
        <v>16884</v>
      </c>
      <c r="E36" s="3" t="s">
        <v>329</v>
      </c>
      <c r="F36" s="3" t="s">
        <v>324</v>
      </c>
      <c r="G36" s="3">
        <v>113</v>
      </c>
      <c r="H36" s="9" t="s">
        <v>318</v>
      </c>
      <c r="K36">
        <f t="shared" si="0"/>
        <v>2158</v>
      </c>
      <c r="L36">
        <f t="shared" si="1"/>
        <v>0.12781331438047855</v>
      </c>
      <c r="O36" s="13" t="s">
        <v>311</v>
      </c>
      <c r="P36">
        <v>31899</v>
      </c>
      <c r="Q36">
        <v>4861</v>
      </c>
      <c r="R36">
        <v>3910</v>
      </c>
      <c r="S36">
        <v>409825</v>
      </c>
    </row>
    <row r="37" spans="1:19" x14ac:dyDescent="0.3">
      <c r="A37" s="3">
        <v>1652</v>
      </c>
      <c r="B37" s="3">
        <v>89</v>
      </c>
      <c r="C37" s="3">
        <v>357</v>
      </c>
      <c r="D37" s="3">
        <v>29736</v>
      </c>
      <c r="E37" s="3" t="s">
        <v>315</v>
      </c>
      <c r="F37" s="3" t="s">
        <v>324</v>
      </c>
      <c r="G37" s="3">
        <v>215</v>
      </c>
      <c r="H37" s="9" t="s">
        <v>318</v>
      </c>
      <c r="K37">
        <f t="shared" si="0"/>
        <v>2098</v>
      </c>
      <c r="L37">
        <f t="shared" si="1"/>
        <v>7.055421038471886E-2</v>
      </c>
      <c r="O37" s="13" t="s">
        <v>316</v>
      </c>
      <c r="P37">
        <v>27067</v>
      </c>
      <c r="Q37">
        <v>3928</v>
      </c>
      <c r="R37">
        <v>1052</v>
      </c>
      <c r="S37">
        <v>308548</v>
      </c>
    </row>
    <row r="38" spans="1:19" x14ac:dyDescent="0.3">
      <c r="A38" s="3">
        <v>3775</v>
      </c>
      <c r="B38" s="3">
        <v>16</v>
      </c>
      <c r="C38" s="3">
        <v>239</v>
      </c>
      <c r="D38" s="3">
        <v>33975</v>
      </c>
      <c r="E38" s="3" t="s">
        <v>338</v>
      </c>
      <c r="F38" s="3" t="s">
        <v>319</v>
      </c>
      <c r="G38" s="3">
        <v>271</v>
      </c>
      <c r="H38" s="9" t="s">
        <v>333</v>
      </c>
      <c r="K38">
        <f t="shared" si="0"/>
        <v>4030</v>
      </c>
      <c r="L38">
        <f t="shared" si="1"/>
        <v>0.11861662987490802</v>
      </c>
      <c r="O38" s="12" t="s">
        <v>338</v>
      </c>
      <c r="P38">
        <v>115595</v>
      </c>
      <c r="Q38">
        <v>20995</v>
      </c>
      <c r="R38">
        <v>10279</v>
      </c>
      <c r="S38">
        <v>1402277</v>
      </c>
    </row>
    <row r="39" spans="1:19" x14ac:dyDescent="0.3">
      <c r="A39" s="3">
        <v>4518</v>
      </c>
      <c r="B39" s="3">
        <v>285</v>
      </c>
      <c r="C39" s="3">
        <v>383</v>
      </c>
      <c r="D39" s="3">
        <v>67770</v>
      </c>
      <c r="E39" s="3" t="s">
        <v>321</v>
      </c>
      <c r="F39" s="3" t="s">
        <v>319</v>
      </c>
      <c r="G39" s="3">
        <v>31</v>
      </c>
      <c r="H39" s="9" t="s">
        <v>322</v>
      </c>
      <c r="K39">
        <f t="shared" si="0"/>
        <v>5186</v>
      </c>
      <c r="L39">
        <f t="shared" si="1"/>
        <v>7.6523535487678915E-2</v>
      </c>
      <c r="O39" s="13" t="s">
        <v>324</v>
      </c>
      <c r="P39">
        <v>28947</v>
      </c>
      <c r="Q39">
        <v>3171</v>
      </c>
      <c r="R39">
        <v>2263</v>
      </c>
      <c r="S39">
        <v>423480</v>
      </c>
    </row>
    <row r="40" spans="1:19" x14ac:dyDescent="0.3">
      <c r="A40" s="3">
        <v>3024</v>
      </c>
      <c r="B40" s="3">
        <v>925</v>
      </c>
      <c r="C40" s="3">
        <v>350</v>
      </c>
      <c r="D40" s="3">
        <v>24192</v>
      </c>
      <c r="E40" s="3" t="s">
        <v>326</v>
      </c>
      <c r="F40" s="3" t="s">
        <v>324</v>
      </c>
      <c r="G40" s="3">
        <v>36</v>
      </c>
      <c r="H40" s="9" t="s">
        <v>322</v>
      </c>
      <c r="K40">
        <f t="shared" si="0"/>
        <v>4299</v>
      </c>
      <c r="L40">
        <f t="shared" si="1"/>
        <v>0.17770337301587302</v>
      </c>
      <c r="O40" s="13" t="s">
        <v>319</v>
      </c>
      <c r="P40">
        <v>25770</v>
      </c>
      <c r="Q40">
        <v>5912</v>
      </c>
      <c r="R40">
        <v>2128</v>
      </c>
      <c r="S40">
        <v>236799</v>
      </c>
    </row>
    <row r="41" spans="1:19" x14ac:dyDescent="0.3">
      <c r="A41" s="3">
        <v>3138</v>
      </c>
      <c r="B41" s="3">
        <v>123</v>
      </c>
      <c r="C41" s="3">
        <v>291</v>
      </c>
      <c r="D41" s="3">
        <v>28242</v>
      </c>
      <c r="E41" s="3" t="s">
        <v>313</v>
      </c>
      <c r="F41" s="3" t="s">
        <v>316</v>
      </c>
      <c r="G41" s="3">
        <v>87</v>
      </c>
      <c r="H41" s="9" t="s">
        <v>318</v>
      </c>
      <c r="K41">
        <f t="shared" si="0"/>
        <v>3552</v>
      </c>
      <c r="L41">
        <f t="shared" si="1"/>
        <v>0.12577012959422137</v>
      </c>
      <c r="O41" s="13" t="s">
        <v>311</v>
      </c>
      <c r="P41">
        <v>29593</v>
      </c>
      <c r="Q41">
        <v>6326</v>
      </c>
      <c r="R41">
        <v>3299</v>
      </c>
      <c r="S41">
        <v>388434</v>
      </c>
    </row>
    <row r="42" spans="1:19" x14ac:dyDescent="0.3">
      <c r="A42" s="3">
        <v>3564</v>
      </c>
      <c r="B42" s="3">
        <v>629</v>
      </c>
      <c r="C42" s="3">
        <v>177</v>
      </c>
      <c r="D42" s="3">
        <v>60588</v>
      </c>
      <c r="E42" s="3" t="s">
        <v>329</v>
      </c>
      <c r="F42" s="3" t="s">
        <v>324</v>
      </c>
      <c r="G42" s="3">
        <v>92</v>
      </c>
      <c r="H42" s="9" t="s">
        <v>318</v>
      </c>
      <c r="K42">
        <f t="shared" si="0"/>
        <v>4370</v>
      </c>
      <c r="L42">
        <f t="shared" si="1"/>
        <v>7.2126493695121141E-2</v>
      </c>
      <c r="O42" s="13" t="s">
        <v>316</v>
      </c>
      <c r="P42">
        <v>31285</v>
      </c>
      <c r="Q42">
        <v>5586</v>
      </c>
      <c r="R42">
        <v>2589</v>
      </c>
      <c r="S42">
        <v>353564</v>
      </c>
    </row>
    <row r="43" spans="1:19" x14ac:dyDescent="0.3">
      <c r="A43" s="3">
        <v>4750</v>
      </c>
      <c r="B43" s="3">
        <v>151</v>
      </c>
      <c r="C43" s="3">
        <v>415</v>
      </c>
      <c r="D43" s="3">
        <v>38000</v>
      </c>
      <c r="E43" s="3" t="s">
        <v>329</v>
      </c>
      <c r="F43" s="3" t="s">
        <v>311</v>
      </c>
      <c r="G43" s="3">
        <v>299</v>
      </c>
      <c r="H43" s="9" t="s">
        <v>322</v>
      </c>
      <c r="K43">
        <f t="shared" si="0"/>
        <v>5316</v>
      </c>
      <c r="L43">
        <f t="shared" si="1"/>
        <v>0.13989473684210527</v>
      </c>
      <c r="O43" s="12" t="s">
        <v>532</v>
      </c>
      <c r="P43">
        <v>819991</v>
      </c>
      <c r="Q43">
        <v>142925</v>
      </c>
      <c r="R43">
        <v>74851</v>
      </c>
      <c r="S43">
        <v>10394153</v>
      </c>
    </row>
    <row r="44" spans="1:19" x14ac:dyDescent="0.3">
      <c r="A44" s="3">
        <v>456</v>
      </c>
      <c r="B44" s="3">
        <v>629</v>
      </c>
      <c r="C44" s="3">
        <v>428</v>
      </c>
      <c r="D44" s="3">
        <v>8208</v>
      </c>
      <c r="E44" s="3" t="s">
        <v>313</v>
      </c>
      <c r="F44" s="3" t="s">
        <v>319</v>
      </c>
      <c r="G44" s="3">
        <v>205</v>
      </c>
      <c r="H44" s="9" t="s">
        <v>333</v>
      </c>
      <c r="K44">
        <f t="shared" si="0"/>
        <v>1513</v>
      </c>
      <c r="L44">
        <f t="shared" si="1"/>
        <v>0.18433235867446393</v>
      </c>
    </row>
    <row r="45" spans="1:19" x14ac:dyDescent="0.3">
      <c r="A45" s="3">
        <v>1543</v>
      </c>
      <c r="B45" s="3">
        <v>820</v>
      </c>
      <c r="C45" s="3">
        <v>333</v>
      </c>
      <c r="D45" s="3">
        <v>12344</v>
      </c>
      <c r="E45" s="3" t="s">
        <v>313</v>
      </c>
      <c r="F45" s="3" t="s">
        <v>316</v>
      </c>
      <c r="G45" s="3">
        <v>241</v>
      </c>
      <c r="H45" s="9" t="s">
        <v>322</v>
      </c>
      <c r="K45">
        <f t="shared" si="0"/>
        <v>2696</v>
      </c>
      <c r="L45">
        <f t="shared" si="1"/>
        <v>0.21840570317563188</v>
      </c>
    </row>
    <row r="46" spans="1:19" x14ac:dyDescent="0.3">
      <c r="A46" s="3">
        <v>2174</v>
      </c>
      <c r="B46" s="3">
        <v>658</v>
      </c>
      <c r="C46" s="3">
        <v>15</v>
      </c>
      <c r="D46" s="3">
        <v>13044</v>
      </c>
      <c r="E46" s="3" t="s">
        <v>326</v>
      </c>
      <c r="F46" s="3" t="s">
        <v>319</v>
      </c>
      <c r="G46" s="3">
        <v>137</v>
      </c>
      <c r="H46" s="9" t="s">
        <v>318</v>
      </c>
      <c r="K46">
        <f t="shared" si="0"/>
        <v>2847</v>
      </c>
      <c r="L46">
        <f t="shared" si="1"/>
        <v>0.21826126954921804</v>
      </c>
    </row>
    <row r="47" spans="1:19" x14ac:dyDescent="0.3">
      <c r="A47" s="3">
        <v>2358</v>
      </c>
      <c r="B47" s="3">
        <v>784</v>
      </c>
      <c r="C47" s="3">
        <v>344</v>
      </c>
      <c r="D47" s="3">
        <v>35370</v>
      </c>
      <c r="E47" s="3" t="s">
        <v>329</v>
      </c>
      <c r="F47" s="3" t="s">
        <v>311</v>
      </c>
      <c r="G47" s="3">
        <v>216</v>
      </c>
      <c r="H47" s="9" t="s">
        <v>318</v>
      </c>
      <c r="K47">
        <f t="shared" si="0"/>
        <v>3486</v>
      </c>
      <c r="L47">
        <f t="shared" si="1"/>
        <v>9.8558100084817649E-2</v>
      </c>
    </row>
    <row r="48" spans="1:19" x14ac:dyDescent="0.3">
      <c r="A48" s="3">
        <v>3371</v>
      </c>
      <c r="B48" s="3">
        <v>106</v>
      </c>
      <c r="C48" s="3">
        <v>327</v>
      </c>
      <c r="D48" s="3">
        <v>50565</v>
      </c>
      <c r="E48" s="3" t="s">
        <v>338</v>
      </c>
      <c r="F48" s="3" t="s">
        <v>324</v>
      </c>
      <c r="G48" s="3">
        <v>176</v>
      </c>
      <c r="H48" s="9" t="s">
        <v>333</v>
      </c>
      <c r="K48">
        <f t="shared" si="0"/>
        <v>3804</v>
      </c>
      <c r="L48">
        <f t="shared" si="1"/>
        <v>7.5229902106199939E-2</v>
      </c>
    </row>
    <row r="49" spans="1:16" ht="15.6" x14ac:dyDescent="0.3">
      <c r="A49" s="3">
        <v>1108</v>
      </c>
      <c r="B49" s="3">
        <v>177</v>
      </c>
      <c r="C49" s="3">
        <v>212</v>
      </c>
      <c r="D49" s="3">
        <v>8864</v>
      </c>
      <c r="E49" s="3" t="s">
        <v>338</v>
      </c>
      <c r="F49" s="3" t="s">
        <v>311</v>
      </c>
      <c r="G49" s="3">
        <v>97</v>
      </c>
      <c r="H49" s="9" t="s">
        <v>318</v>
      </c>
      <c r="K49">
        <f t="shared" si="0"/>
        <v>1497</v>
      </c>
      <c r="L49">
        <f t="shared" si="1"/>
        <v>0.16888537906137185</v>
      </c>
      <c r="O49" s="15" t="s">
        <v>544</v>
      </c>
    </row>
    <row r="50" spans="1:16" x14ac:dyDescent="0.3">
      <c r="A50" s="3">
        <v>2704</v>
      </c>
      <c r="B50" s="3">
        <v>752</v>
      </c>
      <c r="C50" s="3">
        <v>153</v>
      </c>
      <c r="D50" s="3">
        <v>21632</v>
      </c>
      <c r="E50" s="3" t="s">
        <v>326</v>
      </c>
      <c r="F50" s="3" t="s">
        <v>311</v>
      </c>
      <c r="G50" s="3">
        <v>127</v>
      </c>
      <c r="H50" s="9" t="s">
        <v>333</v>
      </c>
      <c r="K50">
        <f t="shared" si="0"/>
        <v>3609</v>
      </c>
      <c r="L50">
        <f t="shared" si="1"/>
        <v>0.16683616863905326</v>
      </c>
    </row>
    <row r="51" spans="1:16" x14ac:dyDescent="0.3">
      <c r="A51" s="3">
        <v>1950</v>
      </c>
      <c r="B51" s="3">
        <v>295</v>
      </c>
      <c r="C51" s="3">
        <v>478</v>
      </c>
      <c r="D51" s="3">
        <v>37050</v>
      </c>
      <c r="E51" s="3" t="s">
        <v>321</v>
      </c>
      <c r="F51" s="3" t="s">
        <v>311</v>
      </c>
      <c r="G51" s="3">
        <v>119</v>
      </c>
      <c r="H51" s="9" t="s">
        <v>318</v>
      </c>
      <c r="K51">
        <f t="shared" si="0"/>
        <v>2723</v>
      </c>
      <c r="L51">
        <f t="shared" si="1"/>
        <v>7.349527665317139E-2</v>
      </c>
      <c r="O51" s="11" t="s">
        <v>533</v>
      </c>
      <c r="P51" t="s">
        <v>567</v>
      </c>
    </row>
    <row r="52" spans="1:16" x14ac:dyDescent="0.3">
      <c r="A52" s="3">
        <v>2164</v>
      </c>
      <c r="B52" s="3">
        <v>549</v>
      </c>
      <c r="C52" s="3">
        <v>274</v>
      </c>
      <c r="D52" s="3">
        <v>28132</v>
      </c>
      <c r="E52" s="3" t="s">
        <v>321</v>
      </c>
      <c r="F52" s="3" t="s">
        <v>311</v>
      </c>
      <c r="G52" s="3">
        <v>177</v>
      </c>
      <c r="H52" s="9" t="s">
        <v>318</v>
      </c>
      <c r="K52">
        <f t="shared" si="0"/>
        <v>2987</v>
      </c>
      <c r="L52">
        <f t="shared" si="1"/>
        <v>0.10617801791554102</v>
      </c>
      <c r="O52" s="12" t="s">
        <v>333</v>
      </c>
      <c r="P52" s="64">
        <v>144.03883495145632</v>
      </c>
    </row>
    <row r="53" spans="1:16" x14ac:dyDescent="0.3">
      <c r="A53" s="3">
        <v>2754</v>
      </c>
      <c r="B53" s="3">
        <v>130</v>
      </c>
      <c r="C53" s="3">
        <v>90</v>
      </c>
      <c r="D53" s="3">
        <v>22032</v>
      </c>
      <c r="E53" s="3" t="s">
        <v>321</v>
      </c>
      <c r="F53" s="3" t="s">
        <v>316</v>
      </c>
      <c r="G53" s="3">
        <v>112</v>
      </c>
      <c r="H53" s="9" t="s">
        <v>318</v>
      </c>
      <c r="K53">
        <f t="shared" si="0"/>
        <v>2974</v>
      </c>
      <c r="L53">
        <f t="shared" si="1"/>
        <v>0.13498547567175018</v>
      </c>
      <c r="O53" s="13" t="s">
        <v>523</v>
      </c>
      <c r="P53" s="64">
        <v>86</v>
      </c>
    </row>
    <row r="54" spans="1:16" x14ac:dyDescent="0.3">
      <c r="A54" s="3">
        <v>2200</v>
      </c>
      <c r="B54" s="3">
        <v>504</v>
      </c>
      <c r="C54" s="3">
        <v>239</v>
      </c>
      <c r="D54" s="3">
        <v>37400</v>
      </c>
      <c r="E54" s="3" t="s">
        <v>326</v>
      </c>
      <c r="F54" s="3" t="s">
        <v>324</v>
      </c>
      <c r="G54" s="3">
        <v>225</v>
      </c>
      <c r="H54" s="9" t="s">
        <v>333</v>
      </c>
      <c r="K54">
        <f t="shared" si="0"/>
        <v>2943</v>
      </c>
      <c r="L54">
        <f t="shared" si="1"/>
        <v>7.8689839572192513E-2</v>
      </c>
      <c r="O54" s="16" t="s">
        <v>322</v>
      </c>
      <c r="P54" s="64">
        <v>194</v>
      </c>
    </row>
    <row r="55" spans="1:16" x14ac:dyDescent="0.3">
      <c r="A55" s="3">
        <v>947</v>
      </c>
      <c r="B55" s="3">
        <v>338</v>
      </c>
      <c r="C55" s="3">
        <v>350</v>
      </c>
      <c r="D55" s="3">
        <v>10417</v>
      </c>
      <c r="E55" s="3" t="s">
        <v>329</v>
      </c>
      <c r="F55" s="3" t="s">
        <v>324</v>
      </c>
      <c r="G55" s="3">
        <v>34</v>
      </c>
      <c r="H55" s="9" t="s">
        <v>318</v>
      </c>
      <c r="K55">
        <f t="shared" si="0"/>
        <v>1635</v>
      </c>
      <c r="L55">
        <f t="shared" si="1"/>
        <v>0.1569549774407219</v>
      </c>
      <c r="O55" s="16" t="s">
        <v>543</v>
      </c>
      <c r="P55" s="64">
        <v>32</v>
      </c>
    </row>
    <row r="56" spans="1:16" x14ac:dyDescent="0.3">
      <c r="A56" s="3">
        <v>804</v>
      </c>
      <c r="B56" s="3">
        <v>639</v>
      </c>
      <c r="C56" s="3">
        <v>43</v>
      </c>
      <c r="D56" s="3">
        <v>4020</v>
      </c>
      <c r="E56" s="3" t="s">
        <v>326</v>
      </c>
      <c r="F56" s="3" t="s">
        <v>316</v>
      </c>
      <c r="G56" s="3">
        <v>11</v>
      </c>
      <c r="H56" s="9" t="s">
        <v>322</v>
      </c>
      <c r="I56" t="s">
        <v>524</v>
      </c>
      <c r="K56">
        <f t="shared" si="0"/>
        <v>1486</v>
      </c>
      <c r="L56">
        <f t="shared" si="1"/>
        <v>0.36965174129353234</v>
      </c>
      <c r="O56" s="13" t="s">
        <v>318</v>
      </c>
      <c r="P56" s="64">
        <v>239</v>
      </c>
    </row>
    <row r="57" spans="1:16" x14ac:dyDescent="0.3">
      <c r="A57" s="3">
        <v>1686</v>
      </c>
      <c r="B57" s="3">
        <v>904</v>
      </c>
      <c r="C57" s="3">
        <v>472</v>
      </c>
      <c r="D57" s="3">
        <v>18546</v>
      </c>
      <c r="E57" s="3" t="s">
        <v>326</v>
      </c>
      <c r="F57" s="3" t="s">
        <v>316</v>
      </c>
      <c r="G57" s="3">
        <v>52</v>
      </c>
      <c r="H57" s="9" t="s">
        <v>333</v>
      </c>
      <c r="K57">
        <f t="shared" si="0"/>
        <v>3062</v>
      </c>
      <c r="L57">
        <f t="shared" si="1"/>
        <v>0.16510298716704411</v>
      </c>
      <c r="O57" s="16" t="s">
        <v>523</v>
      </c>
      <c r="P57" s="64">
        <v>239</v>
      </c>
    </row>
    <row r="58" spans="1:16" x14ac:dyDescent="0.3">
      <c r="A58" s="3">
        <v>1226</v>
      </c>
      <c r="B58" s="3">
        <v>119</v>
      </c>
      <c r="C58" s="3">
        <v>7</v>
      </c>
      <c r="D58" s="3">
        <v>14712</v>
      </c>
      <c r="E58" s="3" t="s">
        <v>329</v>
      </c>
      <c r="F58" s="3" t="s">
        <v>324</v>
      </c>
      <c r="G58" s="3">
        <v>123</v>
      </c>
      <c r="H58" s="9" t="s">
        <v>322</v>
      </c>
      <c r="K58">
        <f t="shared" si="0"/>
        <v>1352</v>
      </c>
      <c r="L58">
        <f t="shared" si="1"/>
        <v>9.1897770527460579E-2</v>
      </c>
      <c r="O58" s="13" t="s">
        <v>525</v>
      </c>
      <c r="P58" s="64">
        <v>39</v>
      </c>
    </row>
    <row r="59" spans="1:16" x14ac:dyDescent="0.3">
      <c r="A59" s="3">
        <v>2946</v>
      </c>
      <c r="B59" s="3">
        <v>498</v>
      </c>
      <c r="C59" s="3">
        <v>367</v>
      </c>
      <c r="D59" s="3">
        <v>29460</v>
      </c>
      <c r="E59" s="3" t="s">
        <v>326</v>
      </c>
      <c r="F59" s="3" t="s">
        <v>324</v>
      </c>
      <c r="G59" s="3">
        <v>60</v>
      </c>
      <c r="H59" s="9" t="s">
        <v>333</v>
      </c>
      <c r="K59">
        <f t="shared" si="0"/>
        <v>3811</v>
      </c>
      <c r="L59">
        <f t="shared" si="1"/>
        <v>0.12936184657162253</v>
      </c>
      <c r="O59" s="16" t="s">
        <v>543</v>
      </c>
      <c r="P59" s="64">
        <v>39</v>
      </c>
    </row>
    <row r="60" spans="1:16" x14ac:dyDescent="0.3">
      <c r="A60" s="3">
        <v>2825</v>
      </c>
      <c r="B60" s="3">
        <v>535</v>
      </c>
      <c r="C60" s="3">
        <v>295</v>
      </c>
      <c r="D60" s="3">
        <v>45200</v>
      </c>
      <c r="E60" s="3" t="s">
        <v>338</v>
      </c>
      <c r="F60" s="3" t="s">
        <v>311</v>
      </c>
      <c r="G60" s="3">
        <v>169</v>
      </c>
      <c r="H60" s="9" t="s">
        <v>318</v>
      </c>
      <c r="K60">
        <f t="shared" si="0"/>
        <v>3655</v>
      </c>
      <c r="L60">
        <f t="shared" si="1"/>
        <v>8.0862831858407078E-2</v>
      </c>
      <c r="O60" s="13" t="s">
        <v>322</v>
      </c>
      <c r="P60" s="64">
        <v>208</v>
      </c>
    </row>
    <row r="61" spans="1:16" x14ac:dyDescent="0.3">
      <c r="A61" s="3">
        <v>103</v>
      </c>
      <c r="B61" s="3">
        <v>770</v>
      </c>
      <c r="C61" s="3">
        <v>19</v>
      </c>
      <c r="D61" s="3">
        <v>1030</v>
      </c>
      <c r="E61" s="3" t="s">
        <v>313</v>
      </c>
      <c r="F61" s="3" t="s">
        <v>319</v>
      </c>
      <c r="G61" s="3">
        <v>262</v>
      </c>
      <c r="H61" s="9" t="s">
        <v>318</v>
      </c>
      <c r="K61">
        <f t="shared" si="0"/>
        <v>892</v>
      </c>
      <c r="L61">
        <f t="shared" si="1"/>
        <v>0.86601941747572819</v>
      </c>
      <c r="O61" s="16" t="s">
        <v>524</v>
      </c>
      <c r="P61" s="64">
        <v>208</v>
      </c>
    </row>
    <row r="62" spans="1:16" x14ac:dyDescent="0.3">
      <c r="A62" s="3">
        <v>2180</v>
      </c>
      <c r="B62" s="3">
        <v>263</v>
      </c>
      <c r="C62" s="3">
        <v>387</v>
      </c>
      <c r="D62" s="3">
        <v>30520</v>
      </c>
      <c r="E62" s="3" t="s">
        <v>315</v>
      </c>
      <c r="F62" s="3" t="s">
        <v>319</v>
      </c>
      <c r="G62" s="3">
        <v>174</v>
      </c>
      <c r="H62" s="9" t="s">
        <v>322</v>
      </c>
      <c r="K62">
        <f t="shared" si="0"/>
        <v>2830</v>
      </c>
      <c r="L62">
        <f t="shared" si="1"/>
        <v>9.2726081258191345E-2</v>
      </c>
      <c r="O62" s="13" t="s">
        <v>543</v>
      </c>
      <c r="P62" s="64">
        <v>143.30526315789473</v>
      </c>
    </row>
    <row r="63" spans="1:16" x14ac:dyDescent="0.3">
      <c r="A63" s="3">
        <v>904</v>
      </c>
      <c r="B63" s="3">
        <v>973</v>
      </c>
      <c r="C63" s="3">
        <v>63</v>
      </c>
      <c r="D63" s="3">
        <v>11752</v>
      </c>
      <c r="E63" s="3" t="s">
        <v>338</v>
      </c>
      <c r="F63" s="3" t="s">
        <v>319</v>
      </c>
      <c r="G63" s="3">
        <v>84</v>
      </c>
      <c r="H63" s="9" t="s">
        <v>322</v>
      </c>
      <c r="I63" t="s">
        <v>318</v>
      </c>
      <c r="J63" t="s">
        <v>523</v>
      </c>
      <c r="K63">
        <f t="shared" si="0"/>
        <v>1940</v>
      </c>
      <c r="L63">
        <f t="shared" si="1"/>
        <v>0.1650782845473111</v>
      </c>
      <c r="O63" s="16" t="s">
        <v>543</v>
      </c>
      <c r="P63" s="64">
        <v>143.30526315789473</v>
      </c>
    </row>
    <row r="64" spans="1:16" x14ac:dyDescent="0.3">
      <c r="A64" s="3">
        <v>4886</v>
      </c>
      <c r="B64" s="3">
        <v>983</v>
      </c>
      <c r="C64" s="3">
        <v>409</v>
      </c>
      <c r="D64" s="3">
        <v>43974</v>
      </c>
      <c r="E64" s="3" t="s">
        <v>338</v>
      </c>
      <c r="F64" s="3" t="s">
        <v>311</v>
      </c>
      <c r="G64" s="3">
        <v>65</v>
      </c>
      <c r="H64" s="9" t="s">
        <v>318</v>
      </c>
      <c r="K64">
        <f t="shared" si="0"/>
        <v>6278</v>
      </c>
      <c r="L64">
        <f t="shared" si="1"/>
        <v>0.14276618001546368</v>
      </c>
      <c r="O64" s="12" t="s">
        <v>318</v>
      </c>
      <c r="P64" s="64">
        <v>157.02000000000001</v>
      </c>
    </row>
    <row r="65" spans="1:16" x14ac:dyDescent="0.3">
      <c r="A65" s="3">
        <v>53</v>
      </c>
      <c r="B65" s="3">
        <v>81</v>
      </c>
      <c r="C65" s="3">
        <v>379</v>
      </c>
      <c r="D65" s="3">
        <v>954</v>
      </c>
      <c r="E65" s="3" t="s">
        <v>326</v>
      </c>
      <c r="F65" s="3" t="s">
        <v>311</v>
      </c>
      <c r="G65" s="3">
        <v>148</v>
      </c>
      <c r="H65" s="9" t="s">
        <v>318</v>
      </c>
      <c r="K65">
        <f t="shared" si="0"/>
        <v>513</v>
      </c>
      <c r="L65">
        <f t="shared" si="1"/>
        <v>0.53773584905660377</v>
      </c>
      <c r="O65" s="13" t="s">
        <v>523</v>
      </c>
      <c r="P65" s="64">
        <v>182</v>
      </c>
    </row>
    <row r="66" spans="1:16" x14ac:dyDescent="0.3">
      <c r="A66" s="3">
        <v>4507</v>
      </c>
      <c r="B66" s="3">
        <v>217</v>
      </c>
      <c r="C66" s="3">
        <v>13</v>
      </c>
      <c r="D66" s="3">
        <v>90140</v>
      </c>
      <c r="E66" s="3" t="s">
        <v>326</v>
      </c>
      <c r="F66" s="3" t="s">
        <v>311</v>
      </c>
      <c r="G66" s="3">
        <v>125</v>
      </c>
      <c r="H66" s="9" t="s">
        <v>333</v>
      </c>
      <c r="K66">
        <f t="shared" si="0"/>
        <v>4737</v>
      </c>
      <c r="L66">
        <f t="shared" si="1"/>
        <v>5.2551586421122697E-2</v>
      </c>
      <c r="O66" s="16" t="s">
        <v>543</v>
      </c>
      <c r="P66" s="64">
        <v>182</v>
      </c>
    </row>
    <row r="67" spans="1:16" x14ac:dyDescent="0.3">
      <c r="A67" s="3">
        <v>2878</v>
      </c>
      <c r="B67" s="3">
        <v>248</v>
      </c>
      <c r="C67" s="3">
        <v>416</v>
      </c>
      <c r="D67" s="3">
        <v>43170</v>
      </c>
      <c r="E67" s="3" t="s">
        <v>329</v>
      </c>
      <c r="F67" s="3" t="s">
        <v>324</v>
      </c>
      <c r="G67" s="3">
        <v>75</v>
      </c>
      <c r="H67" s="9" t="s">
        <v>333</v>
      </c>
      <c r="K67">
        <f t="shared" si="0"/>
        <v>3542</v>
      </c>
      <c r="L67">
        <f t="shared" si="1"/>
        <v>8.2047718322909427E-2</v>
      </c>
      <c r="O67" s="13" t="s">
        <v>524</v>
      </c>
      <c r="P67" s="64">
        <v>117</v>
      </c>
    </row>
    <row r="68" spans="1:16" x14ac:dyDescent="0.3">
      <c r="A68" s="3">
        <v>1881</v>
      </c>
      <c r="B68" s="3">
        <v>501</v>
      </c>
      <c r="C68" s="3">
        <v>99</v>
      </c>
      <c r="D68" s="3">
        <v>20691</v>
      </c>
      <c r="E68" s="3" t="s">
        <v>321</v>
      </c>
      <c r="F68" s="3" t="s">
        <v>319</v>
      </c>
      <c r="G68" s="3">
        <v>289</v>
      </c>
      <c r="H68" s="9" t="s">
        <v>322</v>
      </c>
      <c r="K68">
        <f t="shared" ref="K68:K131" si="2">SUM(A68+B68+C68)</f>
        <v>2481</v>
      </c>
      <c r="L68">
        <f t="shared" ref="L68:L131" si="3">AVERAGE(K68/D68)</f>
        <v>0.11990720603160794</v>
      </c>
      <c r="O68" s="16" t="s">
        <v>543</v>
      </c>
      <c r="P68" s="64">
        <v>117</v>
      </c>
    </row>
    <row r="69" spans="1:16" x14ac:dyDescent="0.3">
      <c r="A69" s="3">
        <v>432</v>
      </c>
      <c r="B69" s="3">
        <v>171</v>
      </c>
      <c r="C69" s="3">
        <v>280</v>
      </c>
      <c r="D69" s="3">
        <v>3024</v>
      </c>
      <c r="E69" s="3" t="s">
        <v>326</v>
      </c>
      <c r="F69" s="3" t="s">
        <v>311</v>
      </c>
      <c r="G69" s="3">
        <v>184</v>
      </c>
      <c r="H69" s="9" t="s">
        <v>322</v>
      </c>
      <c r="K69">
        <f t="shared" si="2"/>
        <v>883</v>
      </c>
      <c r="L69">
        <f t="shared" si="3"/>
        <v>0.29199735449735448</v>
      </c>
      <c r="O69" s="13" t="s">
        <v>525</v>
      </c>
      <c r="P69" s="64">
        <v>170</v>
      </c>
    </row>
    <row r="70" spans="1:16" x14ac:dyDescent="0.3">
      <c r="A70" s="3">
        <v>4712</v>
      </c>
      <c r="B70" s="3">
        <v>568</v>
      </c>
      <c r="C70" s="3">
        <v>127</v>
      </c>
      <c r="D70" s="3">
        <v>84816</v>
      </c>
      <c r="E70" s="3" t="s">
        <v>326</v>
      </c>
      <c r="F70" s="3" t="s">
        <v>324</v>
      </c>
      <c r="G70" s="3">
        <v>100</v>
      </c>
      <c r="H70" s="9" t="s">
        <v>322</v>
      </c>
      <c r="K70">
        <f t="shared" si="2"/>
        <v>5407</v>
      </c>
      <c r="L70">
        <f t="shared" si="3"/>
        <v>6.3749764195434822E-2</v>
      </c>
      <c r="O70" s="16" t="s">
        <v>543</v>
      </c>
      <c r="P70" s="64">
        <v>170</v>
      </c>
    </row>
    <row r="71" spans="1:16" x14ac:dyDescent="0.3">
      <c r="A71" s="3">
        <v>2610</v>
      </c>
      <c r="B71" s="3">
        <v>126</v>
      </c>
      <c r="C71" s="3">
        <v>288</v>
      </c>
      <c r="D71" s="3">
        <v>15660</v>
      </c>
      <c r="E71" s="3" t="s">
        <v>321</v>
      </c>
      <c r="F71" s="3" t="s">
        <v>319</v>
      </c>
      <c r="G71" s="3">
        <v>73</v>
      </c>
      <c r="H71" s="9" t="s">
        <v>322</v>
      </c>
      <c r="K71">
        <f t="shared" si="2"/>
        <v>3024</v>
      </c>
      <c r="L71">
        <f t="shared" si="3"/>
        <v>0.19310344827586207</v>
      </c>
      <c r="O71" s="13" t="s">
        <v>322</v>
      </c>
      <c r="P71" s="64">
        <v>100.5</v>
      </c>
    </row>
    <row r="72" spans="1:16" x14ac:dyDescent="0.3">
      <c r="A72" s="3">
        <v>1292</v>
      </c>
      <c r="B72" s="3">
        <v>626</v>
      </c>
      <c r="C72" s="3">
        <v>496</v>
      </c>
      <c r="D72" s="3">
        <v>25840</v>
      </c>
      <c r="E72" s="3" t="s">
        <v>315</v>
      </c>
      <c r="F72" s="3" t="s">
        <v>311</v>
      </c>
      <c r="G72" s="3">
        <v>149</v>
      </c>
      <c r="H72" s="9" t="s">
        <v>333</v>
      </c>
      <c r="K72">
        <f t="shared" si="2"/>
        <v>2414</v>
      </c>
      <c r="L72">
        <f t="shared" si="3"/>
        <v>9.3421052631578946E-2</v>
      </c>
      <c r="O72" s="16" t="s">
        <v>524</v>
      </c>
      <c r="P72" s="64">
        <v>100.5</v>
      </c>
    </row>
    <row r="73" spans="1:16" x14ac:dyDescent="0.3">
      <c r="A73" s="3">
        <v>199</v>
      </c>
      <c r="B73" s="3">
        <v>772</v>
      </c>
      <c r="C73" s="3">
        <v>400</v>
      </c>
      <c r="D73" s="3">
        <v>3582</v>
      </c>
      <c r="E73" s="3" t="s">
        <v>338</v>
      </c>
      <c r="F73" s="3" t="s">
        <v>324</v>
      </c>
      <c r="G73" s="3">
        <v>43</v>
      </c>
      <c r="H73" s="9" t="s">
        <v>318</v>
      </c>
      <c r="K73">
        <f t="shared" si="2"/>
        <v>1371</v>
      </c>
      <c r="L73">
        <f t="shared" si="3"/>
        <v>0.38274706867671693</v>
      </c>
      <c r="O73" s="13" t="s">
        <v>543</v>
      </c>
      <c r="P73" s="64">
        <v>156.89887640449439</v>
      </c>
    </row>
    <row r="74" spans="1:16" x14ac:dyDescent="0.3">
      <c r="A74" s="3">
        <v>2551</v>
      </c>
      <c r="B74" s="3">
        <v>915</v>
      </c>
      <c r="C74" s="3">
        <v>205</v>
      </c>
      <c r="D74" s="3">
        <v>30612</v>
      </c>
      <c r="E74" s="3" t="s">
        <v>326</v>
      </c>
      <c r="F74" s="3" t="s">
        <v>316</v>
      </c>
      <c r="G74" s="3">
        <v>227</v>
      </c>
      <c r="H74" s="9" t="s">
        <v>318</v>
      </c>
      <c r="K74">
        <f t="shared" si="2"/>
        <v>3671</v>
      </c>
      <c r="L74">
        <f t="shared" si="3"/>
        <v>0.1199202926956749</v>
      </c>
      <c r="O74" s="16" t="s">
        <v>543</v>
      </c>
      <c r="P74" s="64">
        <v>156.89887640449439</v>
      </c>
    </row>
    <row r="75" spans="1:16" x14ac:dyDescent="0.3">
      <c r="A75" s="3">
        <v>296</v>
      </c>
      <c r="B75" s="3">
        <v>60</v>
      </c>
      <c r="C75" s="3">
        <v>141</v>
      </c>
      <c r="D75" s="3">
        <v>5624</v>
      </c>
      <c r="E75" s="3" t="s">
        <v>313</v>
      </c>
      <c r="F75" s="3" t="s">
        <v>316</v>
      </c>
      <c r="G75" s="3">
        <v>88</v>
      </c>
      <c r="H75" s="9" t="s">
        <v>322</v>
      </c>
      <c r="K75">
        <f t="shared" si="2"/>
        <v>497</v>
      </c>
      <c r="L75">
        <f t="shared" si="3"/>
        <v>8.837126600284495E-2</v>
      </c>
      <c r="O75" s="12" t="s">
        <v>322</v>
      </c>
      <c r="P75" s="64">
        <v>152.86597938144331</v>
      </c>
    </row>
    <row r="76" spans="1:16" x14ac:dyDescent="0.3">
      <c r="A76" s="3">
        <v>4126</v>
      </c>
      <c r="B76" s="3">
        <v>426</v>
      </c>
      <c r="C76" s="3">
        <v>486</v>
      </c>
      <c r="D76" s="3">
        <v>78394</v>
      </c>
      <c r="E76" s="3" t="s">
        <v>321</v>
      </c>
      <c r="F76" s="3" t="s">
        <v>324</v>
      </c>
      <c r="G76" s="3">
        <v>88</v>
      </c>
      <c r="H76" s="9" t="s">
        <v>333</v>
      </c>
      <c r="K76">
        <f t="shared" si="2"/>
        <v>5038</v>
      </c>
      <c r="L76">
        <f t="shared" si="3"/>
        <v>6.4265122330790625E-2</v>
      </c>
      <c r="O76" s="13" t="s">
        <v>523</v>
      </c>
      <c r="P76" s="64">
        <v>200</v>
      </c>
    </row>
    <row r="77" spans="1:16" x14ac:dyDescent="0.3">
      <c r="A77" s="3">
        <v>1855</v>
      </c>
      <c r="B77" s="3">
        <v>200</v>
      </c>
      <c r="C77" s="3">
        <v>174</v>
      </c>
      <c r="D77" s="3">
        <v>16695</v>
      </c>
      <c r="E77" s="3" t="s">
        <v>313</v>
      </c>
      <c r="F77" s="3" t="s">
        <v>316</v>
      </c>
      <c r="G77" s="3">
        <v>123</v>
      </c>
      <c r="H77" s="9" t="s">
        <v>318</v>
      </c>
      <c r="K77">
        <f t="shared" si="2"/>
        <v>2229</v>
      </c>
      <c r="L77">
        <f t="shared" si="3"/>
        <v>0.13351302785265048</v>
      </c>
      <c r="O77" s="16" t="s">
        <v>543</v>
      </c>
      <c r="P77" s="64">
        <v>200</v>
      </c>
    </row>
    <row r="78" spans="1:16" x14ac:dyDescent="0.3">
      <c r="A78" s="3">
        <v>1674</v>
      </c>
      <c r="B78" s="3">
        <v>929</v>
      </c>
      <c r="C78" s="3">
        <v>37</v>
      </c>
      <c r="D78" s="3">
        <v>21762</v>
      </c>
      <c r="E78" s="3" t="s">
        <v>313</v>
      </c>
      <c r="F78" s="3" t="s">
        <v>319</v>
      </c>
      <c r="G78" s="3">
        <v>255</v>
      </c>
      <c r="H78" s="9" t="s">
        <v>318</v>
      </c>
      <c r="K78">
        <f t="shared" si="2"/>
        <v>2640</v>
      </c>
      <c r="L78">
        <f t="shared" si="3"/>
        <v>0.12131237937689551</v>
      </c>
      <c r="O78" s="13" t="s">
        <v>524</v>
      </c>
      <c r="P78" s="64">
        <v>126.5</v>
      </c>
    </row>
    <row r="79" spans="1:16" x14ac:dyDescent="0.3">
      <c r="A79" s="3">
        <v>1121</v>
      </c>
      <c r="B79" s="3">
        <v>135</v>
      </c>
      <c r="C79" s="3">
        <v>18</v>
      </c>
      <c r="D79" s="3">
        <v>15694</v>
      </c>
      <c r="E79" s="3" t="s">
        <v>321</v>
      </c>
      <c r="F79" s="3" t="s">
        <v>311</v>
      </c>
      <c r="G79" s="3">
        <v>99</v>
      </c>
      <c r="H79" s="9" t="s">
        <v>318</v>
      </c>
      <c r="K79">
        <f t="shared" si="2"/>
        <v>1274</v>
      </c>
      <c r="L79">
        <f t="shared" si="3"/>
        <v>8.1177520071364848E-2</v>
      </c>
      <c r="O79" s="16" t="s">
        <v>543</v>
      </c>
      <c r="P79" s="64">
        <v>126.5</v>
      </c>
    </row>
    <row r="80" spans="1:16" x14ac:dyDescent="0.3">
      <c r="A80" s="3">
        <v>1249</v>
      </c>
      <c r="B80" s="3">
        <v>116</v>
      </c>
      <c r="C80" s="3">
        <v>420</v>
      </c>
      <c r="D80" s="3">
        <v>8743</v>
      </c>
      <c r="E80" s="3" t="s">
        <v>321</v>
      </c>
      <c r="F80" s="3" t="s">
        <v>324</v>
      </c>
      <c r="G80" s="3">
        <v>63</v>
      </c>
      <c r="H80" s="9" t="s">
        <v>318</v>
      </c>
      <c r="K80">
        <f t="shared" si="2"/>
        <v>1785</v>
      </c>
      <c r="L80">
        <f t="shared" si="3"/>
        <v>0.20416333066453163</v>
      </c>
      <c r="O80" s="13" t="s">
        <v>318</v>
      </c>
      <c r="P80" s="64">
        <v>139.25</v>
      </c>
    </row>
    <row r="81" spans="1:16" x14ac:dyDescent="0.3">
      <c r="A81" s="3">
        <v>954</v>
      </c>
      <c r="B81" s="3">
        <v>324</v>
      </c>
      <c r="C81" s="3">
        <v>288</v>
      </c>
      <c r="D81" s="3">
        <v>19080</v>
      </c>
      <c r="E81" s="3" t="s">
        <v>329</v>
      </c>
      <c r="F81" s="3" t="s">
        <v>311</v>
      </c>
      <c r="G81" s="3">
        <v>21</v>
      </c>
      <c r="H81" s="9" t="s">
        <v>333</v>
      </c>
      <c r="K81">
        <f t="shared" si="2"/>
        <v>1566</v>
      </c>
      <c r="L81">
        <f t="shared" si="3"/>
        <v>8.2075471698113203E-2</v>
      </c>
      <c r="O81" s="16" t="s">
        <v>523</v>
      </c>
      <c r="P81" s="64">
        <v>111</v>
      </c>
    </row>
    <row r="82" spans="1:16" x14ac:dyDescent="0.3">
      <c r="A82" s="3">
        <v>3068</v>
      </c>
      <c r="B82" s="3">
        <v>137</v>
      </c>
      <c r="C82" s="3">
        <v>329</v>
      </c>
      <c r="D82" s="3">
        <v>39884</v>
      </c>
      <c r="E82" s="3" t="s">
        <v>326</v>
      </c>
      <c r="F82" s="3" t="s">
        <v>319</v>
      </c>
      <c r="G82" s="3">
        <v>266</v>
      </c>
      <c r="H82" s="9" t="s">
        <v>322</v>
      </c>
      <c r="K82">
        <f t="shared" si="2"/>
        <v>3534</v>
      </c>
      <c r="L82">
        <f t="shared" si="3"/>
        <v>8.860696018453515E-2</v>
      </c>
      <c r="O82" s="16" t="s">
        <v>543</v>
      </c>
      <c r="P82" s="64">
        <v>224</v>
      </c>
    </row>
    <row r="83" spans="1:16" x14ac:dyDescent="0.3">
      <c r="A83" s="3">
        <v>2103</v>
      </c>
      <c r="B83" s="3">
        <v>892</v>
      </c>
      <c r="C83" s="3">
        <v>103</v>
      </c>
      <c r="D83" s="3">
        <v>39957</v>
      </c>
      <c r="E83" s="3" t="s">
        <v>321</v>
      </c>
      <c r="F83" s="3" t="s">
        <v>319</v>
      </c>
      <c r="G83" s="3">
        <v>28</v>
      </c>
      <c r="H83" s="9" t="s">
        <v>333</v>
      </c>
      <c r="K83">
        <f t="shared" si="2"/>
        <v>3098</v>
      </c>
      <c r="L83">
        <f t="shared" si="3"/>
        <v>7.7533348349475686E-2</v>
      </c>
      <c r="O83" s="13" t="s">
        <v>525</v>
      </c>
      <c r="P83" s="64">
        <v>10</v>
      </c>
    </row>
    <row r="84" spans="1:16" x14ac:dyDescent="0.3">
      <c r="A84" s="3">
        <v>1816</v>
      </c>
      <c r="B84" s="3">
        <v>29</v>
      </c>
      <c r="C84" s="3">
        <v>41</v>
      </c>
      <c r="D84" s="3">
        <v>19976</v>
      </c>
      <c r="E84" s="3" t="s">
        <v>321</v>
      </c>
      <c r="F84" s="3" t="s">
        <v>319</v>
      </c>
      <c r="G84" s="3">
        <v>283</v>
      </c>
      <c r="H84" s="9" t="s">
        <v>318</v>
      </c>
      <c r="K84">
        <f t="shared" si="2"/>
        <v>1886</v>
      </c>
      <c r="L84">
        <f t="shared" si="3"/>
        <v>9.4413295955146179E-2</v>
      </c>
      <c r="O84" s="16" t="s">
        <v>543</v>
      </c>
      <c r="P84" s="64">
        <v>10</v>
      </c>
    </row>
    <row r="85" spans="1:16" x14ac:dyDescent="0.3">
      <c r="A85" s="3">
        <v>725</v>
      </c>
      <c r="B85" s="3">
        <v>88</v>
      </c>
      <c r="C85" s="3">
        <v>428</v>
      </c>
      <c r="D85" s="3">
        <v>14500</v>
      </c>
      <c r="E85" s="3" t="s">
        <v>329</v>
      </c>
      <c r="F85" s="3" t="s">
        <v>319</v>
      </c>
      <c r="G85" s="3">
        <v>200</v>
      </c>
      <c r="H85" s="9" t="s">
        <v>333</v>
      </c>
      <c r="I85" t="s">
        <v>318</v>
      </c>
      <c r="J85" t="s">
        <v>523</v>
      </c>
      <c r="K85">
        <f t="shared" si="2"/>
        <v>1241</v>
      </c>
      <c r="L85">
        <f t="shared" si="3"/>
        <v>8.558620689655172E-2</v>
      </c>
      <c r="O85" s="13" t="s">
        <v>322</v>
      </c>
      <c r="P85" s="64">
        <v>25</v>
      </c>
    </row>
    <row r="86" spans="1:16" x14ac:dyDescent="0.3">
      <c r="A86" s="3">
        <v>1094</v>
      </c>
      <c r="B86" s="3">
        <v>472</v>
      </c>
      <c r="C86" s="3">
        <v>21</v>
      </c>
      <c r="D86" s="3">
        <v>9846</v>
      </c>
      <c r="E86" s="3" t="s">
        <v>338</v>
      </c>
      <c r="F86" s="3" t="s">
        <v>316</v>
      </c>
      <c r="G86" s="3">
        <v>112</v>
      </c>
      <c r="H86" s="9" t="s">
        <v>322</v>
      </c>
      <c r="K86">
        <f t="shared" si="2"/>
        <v>1587</v>
      </c>
      <c r="L86">
        <f t="shared" si="3"/>
        <v>0.16118220597196831</v>
      </c>
      <c r="O86" s="16" t="s">
        <v>524</v>
      </c>
      <c r="P86" s="64">
        <v>25</v>
      </c>
    </row>
    <row r="87" spans="1:16" x14ac:dyDescent="0.3">
      <c r="A87" s="3">
        <v>1841</v>
      </c>
      <c r="B87" s="3">
        <v>851</v>
      </c>
      <c r="C87" s="3">
        <v>342</v>
      </c>
      <c r="D87" s="3">
        <v>34979</v>
      </c>
      <c r="E87" s="3" t="s">
        <v>329</v>
      </c>
      <c r="F87" s="3" t="s">
        <v>324</v>
      </c>
      <c r="G87" s="3">
        <v>255</v>
      </c>
      <c r="H87" s="9" t="s">
        <v>333</v>
      </c>
      <c r="K87">
        <f t="shared" si="2"/>
        <v>3034</v>
      </c>
      <c r="L87">
        <f t="shared" si="3"/>
        <v>8.6737756939878216E-2</v>
      </c>
      <c r="O87" s="13" t="s">
        <v>543</v>
      </c>
      <c r="P87" s="64">
        <v>156.625</v>
      </c>
    </row>
    <row r="88" spans="1:16" x14ac:dyDescent="0.3">
      <c r="A88" s="3">
        <v>4177</v>
      </c>
      <c r="B88" s="3">
        <v>569</v>
      </c>
      <c r="C88" s="3">
        <v>55</v>
      </c>
      <c r="D88" s="3">
        <v>25062</v>
      </c>
      <c r="E88" s="3" t="s">
        <v>329</v>
      </c>
      <c r="F88" s="3" t="s">
        <v>319</v>
      </c>
      <c r="G88" s="3">
        <v>230</v>
      </c>
      <c r="H88" s="9" t="s">
        <v>333</v>
      </c>
      <c r="K88">
        <f t="shared" si="2"/>
        <v>4801</v>
      </c>
      <c r="L88">
        <f t="shared" si="3"/>
        <v>0.19156491900087783</v>
      </c>
      <c r="O88" s="16" t="s">
        <v>543</v>
      </c>
      <c r="P88" s="64">
        <v>156.625</v>
      </c>
    </row>
    <row r="89" spans="1:16" x14ac:dyDescent="0.3">
      <c r="A89" s="3">
        <v>3428</v>
      </c>
      <c r="B89" s="3">
        <v>305</v>
      </c>
      <c r="C89" s="3">
        <v>85</v>
      </c>
      <c r="D89" s="3">
        <v>58276</v>
      </c>
      <c r="E89" s="3" t="s">
        <v>315</v>
      </c>
      <c r="F89" s="3" t="s">
        <v>316</v>
      </c>
      <c r="G89" s="3">
        <v>242</v>
      </c>
      <c r="H89" s="9" t="s">
        <v>322</v>
      </c>
      <c r="I89" t="s">
        <v>524</v>
      </c>
      <c r="K89">
        <f t="shared" si="2"/>
        <v>3818</v>
      </c>
      <c r="L89">
        <f t="shared" si="3"/>
        <v>6.5515821264328367E-2</v>
      </c>
      <c r="O89" s="12" t="s">
        <v>532</v>
      </c>
      <c r="P89" s="64">
        <v>151.22</v>
      </c>
    </row>
    <row r="90" spans="1:16" x14ac:dyDescent="0.3">
      <c r="A90" s="3">
        <v>1436</v>
      </c>
      <c r="B90" s="3">
        <v>765</v>
      </c>
      <c r="C90" s="3">
        <v>496</v>
      </c>
      <c r="D90" s="3">
        <v>12924</v>
      </c>
      <c r="E90" s="3" t="s">
        <v>338</v>
      </c>
      <c r="F90" s="3" t="s">
        <v>311</v>
      </c>
      <c r="G90" s="3">
        <v>197</v>
      </c>
      <c r="H90" s="9" t="s">
        <v>333</v>
      </c>
      <c r="K90">
        <f t="shared" si="2"/>
        <v>2697</v>
      </c>
      <c r="L90">
        <f t="shared" si="3"/>
        <v>0.20868152274837512</v>
      </c>
    </row>
    <row r="91" spans="1:16" x14ac:dyDescent="0.3">
      <c r="A91" s="3">
        <v>302</v>
      </c>
      <c r="B91" s="3">
        <v>47</v>
      </c>
      <c r="C91" s="3">
        <v>430</v>
      </c>
      <c r="D91" s="3">
        <v>5738</v>
      </c>
      <c r="E91" s="3" t="s">
        <v>321</v>
      </c>
      <c r="F91" s="3" t="s">
        <v>324</v>
      </c>
      <c r="G91" s="3">
        <v>25</v>
      </c>
      <c r="H91" s="9" t="s">
        <v>318</v>
      </c>
      <c r="K91">
        <f t="shared" si="2"/>
        <v>779</v>
      </c>
      <c r="L91">
        <f t="shared" si="3"/>
        <v>0.13576158940397351</v>
      </c>
    </row>
    <row r="92" spans="1:16" x14ac:dyDescent="0.3">
      <c r="A92" s="3">
        <v>2214</v>
      </c>
      <c r="B92" s="3">
        <v>249</v>
      </c>
      <c r="C92" s="3">
        <v>152</v>
      </c>
      <c r="D92" s="3">
        <v>15498</v>
      </c>
      <c r="E92" s="3" t="s">
        <v>329</v>
      </c>
      <c r="F92" s="3" t="s">
        <v>311</v>
      </c>
      <c r="G92" s="3">
        <v>180</v>
      </c>
      <c r="H92" s="9" t="s">
        <v>322</v>
      </c>
      <c r="K92">
        <f t="shared" si="2"/>
        <v>2615</v>
      </c>
      <c r="L92">
        <f t="shared" si="3"/>
        <v>0.16873144921925409</v>
      </c>
    </row>
    <row r="93" spans="1:16" x14ac:dyDescent="0.3">
      <c r="A93" s="3">
        <v>3861</v>
      </c>
      <c r="B93" s="3">
        <v>960</v>
      </c>
      <c r="C93" s="3">
        <v>101</v>
      </c>
      <c r="D93" s="3">
        <v>69498</v>
      </c>
      <c r="E93" s="3" t="s">
        <v>329</v>
      </c>
      <c r="F93" s="3" t="s">
        <v>319</v>
      </c>
      <c r="G93" s="3">
        <v>297</v>
      </c>
      <c r="H93" s="9" t="s">
        <v>318</v>
      </c>
      <c r="K93">
        <f t="shared" si="2"/>
        <v>4922</v>
      </c>
      <c r="L93">
        <f t="shared" si="3"/>
        <v>7.0822181933293038E-2</v>
      </c>
    </row>
    <row r="94" spans="1:16" x14ac:dyDescent="0.3">
      <c r="A94" s="3">
        <v>1263</v>
      </c>
      <c r="B94" s="3">
        <v>397</v>
      </c>
      <c r="C94" s="3">
        <v>357</v>
      </c>
      <c r="D94" s="3">
        <v>25260</v>
      </c>
      <c r="E94" s="3" t="s">
        <v>329</v>
      </c>
      <c r="F94" s="3" t="s">
        <v>324</v>
      </c>
      <c r="G94" s="3">
        <v>137</v>
      </c>
      <c r="H94" s="9" t="s">
        <v>322</v>
      </c>
      <c r="K94">
        <f t="shared" si="2"/>
        <v>2017</v>
      </c>
      <c r="L94">
        <f t="shared" si="3"/>
        <v>7.984956452889945E-2</v>
      </c>
    </row>
    <row r="95" spans="1:16" x14ac:dyDescent="0.3">
      <c r="A95" s="3">
        <v>3801</v>
      </c>
      <c r="B95" s="3">
        <v>967</v>
      </c>
      <c r="C95" s="3">
        <v>401</v>
      </c>
      <c r="D95" s="3">
        <v>38010</v>
      </c>
      <c r="E95" s="3" t="s">
        <v>321</v>
      </c>
      <c r="F95" s="3" t="s">
        <v>311</v>
      </c>
      <c r="G95" s="3">
        <v>236</v>
      </c>
      <c r="H95" s="9" t="s">
        <v>333</v>
      </c>
      <c r="K95">
        <f t="shared" si="2"/>
        <v>5169</v>
      </c>
      <c r="L95">
        <f t="shared" si="3"/>
        <v>0.13599052880820836</v>
      </c>
    </row>
    <row r="96" spans="1:16" x14ac:dyDescent="0.3">
      <c r="A96" s="3">
        <v>1431</v>
      </c>
      <c r="B96" s="3">
        <v>951</v>
      </c>
      <c r="C96" s="3">
        <v>26</v>
      </c>
      <c r="D96" s="3">
        <v>8586</v>
      </c>
      <c r="E96" s="3" t="s">
        <v>338</v>
      </c>
      <c r="F96" s="3" t="s">
        <v>319</v>
      </c>
      <c r="G96" s="3">
        <v>150</v>
      </c>
      <c r="H96" s="9" t="s">
        <v>322</v>
      </c>
      <c r="K96">
        <f t="shared" si="2"/>
        <v>2408</v>
      </c>
      <c r="L96">
        <f t="shared" si="3"/>
        <v>0.28045655718611695</v>
      </c>
    </row>
    <row r="97" spans="1:12" x14ac:dyDescent="0.3">
      <c r="A97" s="3">
        <v>2647</v>
      </c>
      <c r="B97" s="3">
        <v>304</v>
      </c>
      <c r="C97" s="3">
        <v>170</v>
      </c>
      <c r="D97" s="3">
        <v>18529</v>
      </c>
      <c r="E97" s="3" t="s">
        <v>329</v>
      </c>
      <c r="F97" s="3" t="s">
        <v>319</v>
      </c>
      <c r="G97" s="3">
        <v>46</v>
      </c>
      <c r="H97" s="9" t="s">
        <v>333</v>
      </c>
      <c r="K97">
        <f t="shared" si="2"/>
        <v>3121</v>
      </c>
      <c r="L97">
        <f t="shared" si="3"/>
        <v>0.16843866371633656</v>
      </c>
    </row>
    <row r="98" spans="1:12" x14ac:dyDescent="0.3">
      <c r="A98" s="3">
        <v>3182</v>
      </c>
      <c r="B98" s="3">
        <v>559</v>
      </c>
      <c r="C98" s="3">
        <v>160</v>
      </c>
      <c r="D98" s="3">
        <v>57276</v>
      </c>
      <c r="E98" s="3" t="s">
        <v>315</v>
      </c>
      <c r="F98" s="3" t="s">
        <v>319</v>
      </c>
      <c r="G98" s="3">
        <v>163</v>
      </c>
      <c r="H98" s="9" t="s">
        <v>333</v>
      </c>
      <c r="K98">
        <f t="shared" si="2"/>
        <v>3901</v>
      </c>
      <c r="L98">
        <f t="shared" si="3"/>
        <v>6.8108806480899509E-2</v>
      </c>
    </row>
    <row r="99" spans="1:12" x14ac:dyDescent="0.3">
      <c r="A99" s="3">
        <v>1238</v>
      </c>
      <c r="B99" s="3">
        <v>366</v>
      </c>
      <c r="C99" s="3">
        <v>444</v>
      </c>
      <c r="D99" s="3">
        <v>19808</v>
      </c>
      <c r="E99" s="3" t="s">
        <v>329</v>
      </c>
      <c r="F99" s="3" t="s">
        <v>311</v>
      </c>
      <c r="G99" s="3">
        <v>123</v>
      </c>
      <c r="H99" s="9" t="s">
        <v>333</v>
      </c>
      <c r="K99">
        <f t="shared" si="2"/>
        <v>2048</v>
      </c>
      <c r="L99">
        <f t="shared" si="3"/>
        <v>0.10339256865912763</v>
      </c>
    </row>
    <row r="100" spans="1:12" x14ac:dyDescent="0.3">
      <c r="A100" s="3">
        <v>4739</v>
      </c>
      <c r="B100" s="3">
        <v>527</v>
      </c>
      <c r="C100" s="3">
        <v>135</v>
      </c>
      <c r="D100" s="3">
        <v>61607</v>
      </c>
      <c r="E100" s="3" t="s">
        <v>329</v>
      </c>
      <c r="F100" s="3" t="s">
        <v>319</v>
      </c>
      <c r="G100" s="3">
        <v>36</v>
      </c>
      <c r="H100" s="9" t="s">
        <v>318</v>
      </c>
      <c r="I100" t="s">
        <v>523</v>
      </c>
      <c r="K100">
        <f t="shared" si="2"/>
        <v>5401</v>
      </c>
      <c r="L100">
        <f t="shared" si="3"/>
        <v>8.7668609086629767E-2</v>
      </c>
    </row>
    <row r="101" spans="1:12" x14ac:dyDescent="0.3">
      <c r="A101" s="3">
        <v>1575</v>
      </c>
      <c r="B101" s="3">
        <v>771</v>
      </c>
      <c r="C101" s="3">
        <v>486</v>
      </c>
      <c r="D101" s="3">
        <v>25200</v>
      </c>
      <c r="E101" s="3" t="s">
        <v>321</v>
      </c>
      <c r="F101" s="3" t="s">
        <v>311</v>
      </c>
      <c r="G101" s="3">
        <v>17</v>
      </c>
      <c r="H101" s="9" t="s">
        <v>333</v>
      </c>
      <c r="K101">
        <f t="shared" si="2"/>
        <v>2832</v>
      </c>
      <c r="L101">
        <f t="shared" si="3"/>
        <v>0.11238095238095239</v>
      </c>
    </row>
    <row r="102" spans="1:12" x14ac:dyDescent="0.3">
      <c r="A102" s="3">
        <v>4171</v>
      </c>
      <c r="B102" s="3">
        <v>548</v>
      </c>
      <c r="C102" s="3">
        <v>86</v>
      </c>
      <c r="D102" s="3">
        <v>66736</v>
      </c>
      <c r="E102" s="3" t="s">
        <v>326</v>
      </c>
      <c r="F102" s="3" t="s">
        <v>316</v>
      </c>
      <c r="G102" s="3">
        <v>173</v>
      </c>
      <c r="H102" s="9" t="s">
        <v>333</v>
      </c>
      <c r="K102">
        <f t="shared" si="2"/>
        <v>4805</v>
      </c>
      <c r="L102">
        <f t="shared" si="3"/>
        <v>7.2000119875329657E-2</v>
      </c>
    </row>
    <row r="103" spans="1:12" x14ac:dyDescent="0.3">
      <c r="A103" s="3">
        <v>1766</v>
      </c>
      <c r="B103" s="3">
        <v>92</v>
      </c>
      <c r="C103" s="3">
        <v>424</v>
      </c>
      <c r="D103" s="3">
        <v>24724</v>
      </c>
      <c r="E103" s="3" t="s">
        <v>338</v>
      </c>
      <c r="F103" s="3" t="s">
        <v>316</v>
      </c>
      <c r="G103" s="3">
        <v>52</v>
      </c>
      <c r="H103" s="9" t="s">
        <v>322</v>
      </c>
      <c r="K103">
        <f t="shared" si="2"/>
        <v>2282</v>
      </c>
      <c r="L103">
        <f t="shared" si="3"/>
        <v>9.2298980747451867E-2</v>
      </c>
    </row>
    <row r="104" spans="1:12" x14ac:dyDescent="0.3">
      <c r="A104" s="3">
        <v>4450</v>
      </c>
      <c r="B104" s="3">
        <v>983</v>
      </c>
      <c r="C104" s="3">
        <v>143</v>
      </c>
      <c r="D104" s="3">
        <v>75650</v>
      </c>
      <c r="E104" s="3" t="s">
        <v>338</v>
      </c>
      <c r="F104" s="3" t="s">
        <v>316</v>
      </c>
      <c r="G104" s="3">
        <v>12</v>
      </c>
      <c r="H104" s="9" t="s">
        <v>333</v>
      </c>
      <c r="K104">
        <f t="shared" si="2"/>
        <v>5576</v>
      </c>
      <c r="L104">
        <f t="shared" si="3"/>
        <v>7.3707865168539333E-2</v>
      </c>
    </row>
    <row r="105" spans="1:12" x14ac:dyDescent="0.3">
      <c r="A105" s="3">
        <v>1000</v>
      </c>
      <c r="B105" s="3">
        <v>978</v>
      </c>
      <c r="C105" s="3">
        <v>162</v>
      </c>
      <c r="D105" s="3">
        <v>6000</v>
      </c>
      <c r="E105" s="3" t="s">
        <v>313</v>
      </c>
      <c r="F105" s="3" t="s">
        <v>311</v>
      </c>
      <c r="G105" s="3">
        <v>223</v>
      </c>
      <c r="H105" s="9" t="s">
        <v>322</v>
      </c>
      <c r="K105">
        <f t="shared" si="2"/>
        <v>2140</v>
      </c>
      <c r="L105">
        <f t="shared" si="3"/>
        <v>0.35666666666666669</v>
      </c>
    </row>
    <row r="106" spans="1:12" x14ac:dyDescent="0.3">
      <c r="A106" s="3">
        <v>3689</v>
      </c>
      <c r="B106" s="3">
        <v>48</v>
      </c>
      <c r="C106" s="3">
        <v>306</v>
      </c>
      <c r="D106" s="3">
        <v>40579</v>
      </c>
      <c r="E106" s="3" t="s">
        <v>329</v>
      </c>
      <c r="F106" s="3" t="s">
        <v>324</v>
      </c>
      <c r="G106" s="3">
        <v>212</v>
      </c>
      <c r="H106" s="9" t="s">
        <v>322</v>
      </c>
      <c r="K106">
        <f t="shared" si="2"/>
        <v>4043</v>
      </c>
      <c r="L106">
        <f t="shared" si="3"/>
        <v>9.9632815002833983E-2</v>
      </c>
    </row>
    <row r="107" spans="1:12" x14ac:dyDescent="0.3">
      <c r="A107" s="3">
        <v>3655</v>
      </c>
      <c r="B107" s="3">
        <v>568</v>
      </c>
      <c r="C107" s="3">
        <v>286</v>
      </c>
      <c r="D107" s="3">
        <v>32895</v>
      </c>
      <c r="E107" s="3" t="s">
        <v>321</v>
      </c>
      <c r="F107" s="3" t="s">
        <v>316</v>
      </c>
      <c r="G107" s="3">
        <v>199</v>
      </c>
      <c r="H107" s="9" t="s">
        <v>318</v>
      </c>
      <c r="K107">
        <f t="shared" si="2"/>
        <v>4509</v>
      </c>
      <c r="L107">
        <f t="shared" si="3"/>
        <v>0.13707250341997265</v>
      </c>
    </row>
    <row r="108" spans="1:12" x14ac:dyDescent="0.3">
      <c r="A108" s="3">
        <v>498</v>
      </c>
      <c r="B108" s="3">
        <v>38</v>
      </c>
      <c r="C108" s="3">
        <v>42</v>
      </c>
      <c r="D108" s="3">
        <v>4482</v>
      </c>
      <c r="E108" s="3" t="s">
        <v>326</v>
      </c>
      <c r="F108" s="3" t="s">
        <v>319</v>
      </c>
      <c r="G108" s="3">
        <v>32</v>
      </c>
      <c r="H108" s="9" t="s">
        <v>333</v>
      </c>
      <c r="K108">
        <f t="shared" si="2"/>
        <v>578</v>
      </c>
      <c r="L108">
        <f t="shared" si="3"/>
        <v>0.12896028558679162</v>
      </c>
    </row>
    <row r="109" spans="1:12" x14ac:dyDescent="0.3">
      <c r="A109" s="3">
        <v>4619</v>
      </c>
      <c r="B109" s="3">
        <v>821</v>
      </c>
      <c r="C109" s="3">
        <v>499</v>
      </c>
      <c r="D109" s="3">
        <v>69285</v>
      </c>
      <c r="E109" s="3" t="s">
        <v>329</v>
      </c>
      <c r="F109" s="3" t="s">
        <v>319</v>
      </c>
      <c r="G109" s="3">
        <v>298</v>
      </c>
      <c r="H109" s="9" t="s">
        <v>318</v>
      </c>
      <c r="K109">
        <f t="shared" si="2"/>
        <v>5939</v>
      </c>
      <c r="L109">
        <f t="shared" si="3"/>
        <v>8.5718409468138843E-2</v>
      </c>
    </row>
    <row r="110" spans="1:12" x14ac:dyDescent="0.3">
      <c r="A110" s="3">
        <v>4832</v>
      </c>
      <c r="B110" s="3">
        <v>893</v>
      </c>
      <c r="C110" s="3">
        <v>10</v>
      </c>
      <c r="D110" s="3">
        <v>91808</v>
      </c>
      <c r="E110" s="3" t="s">
        <v>329</v>
      </c>
      <c r="F110" s="3" t="s">
        <v>316</v>
      </c>
      <c r="G110" s="3">
        <v>182</v>
      </c>
      <c r="H110" s="9" t="s">
        <v>318</v>
      </c>
      <c r="K110">
        <f t="shared" si="2"/>
        <v>5735</v>
      </c>
      <c r="L110">
        <f t="shared" si="3"/>
        <v>6.2467323109097243E-2</v>
      </c>
    </row>
    <row r="111" spans="1:12" x14ac:dyDescent="0.3">
      <c r="A111" s="3">
        <v>4050</v>
      </c>
      <c r="B111" s="3">
        <v>871</v>
      </c>
      <c r="C111" s="3">
        <v>347</v>
      </c>
      <c r="D111" s="3">
        <v>52650</v>
      </c>
      <c r="E111" s="3" t="s">
        <v>338</v>
      </c>
      <c r="F111" s="3" t="s">
        <v>311</v>
      </c>
      <c r="G111" s="3">
        <v>209</v>
      </c>
      <c r="H111" s="9" t="s">
        <v>318</v>
      </c>
      <c r="K111">
        <f t="shared" si="2"/>
        <v>5268</v>
      </c>
      <c r="L111">
        <f t="shared" si="3"/>
        <v>0.10005698005698006</v>
      </c>
    </row>
    <row r="112" spans="1:12" x14ac:dyDescent="0.3">
      <c r="A112" s="3">
        <v>3649</v>
      </c>
      <c r="B112" s="3">
        <v>215</v>
      </c>
      <c r="C112" s="3">
        <v>413</v>
      </c>
      <c r="D112" s="3">
        <v>25543</v>
      </c>
      <c r="E112" s="3" t="s">
        <v>321</v>
      </c>
      <c r="F112" s="3" t="s">
        <v>311</v>
      </c>
      <c r="G112" s="3">
        <v>167</v>
      </c>
      <c r="H112" s="9" t="s">
        <v>333</v>
      </c>
      <c r="K112">
        <f t="shared" si="2"/>
        <v>4277</v>
      </c>
      <c r="L112">
        <f t="shared" si="3"/>
        <v>0.16744313510550835</v>
      </c>
    </row>
    <row r="113" spans="1:12" x14ac:dyDescent="0.3">
      <c r="A113" s="3">
        <v>3523</v>
      </c>
      <c r="B113" s="3">
        <v>753</v>
      </c>
      <c r="C113" s="3">
        <v>482</v>
      </c>
      <c r="D113" s="3">
        <v>38753</v>
      </c>
      <c r="E113" s="3" t="s">
        <v>313</v>
      </c>
      <c r="F113" s="3" t="s">
        <v>319</v>
      </c>
      <c r="G113" s="3">
        <v>270</v>
      </c>
      <c r="H113" s="9" t="s">
        <v>322</v>
      </c>
      <c r="K113">
        <f t="shared" si="2"/>
        <v>4758</v>
      </c>
      <c r="L113">
        <f t="shared" si="3"/>
        <v>0.12277759141227776</v>
      </c>
    </row>
    <row r="114" spans="1:12" x14ac:dyDescent="0.3">
      <c r="A114" s="3">
        <v>2719</v>
      </c>
      <c r="B114" s="3">
        <v>17</v>
      </c>
      <c r="C114" s="3">
        <v>285</v>
      </c>
      <c r="D114" s="3">
        <v>40785</v>
      </c>
      <c r="E114" s="3" t="s">
        <v>329</v>
      </c>
      <c r="F114" s="3" t="s">
        <v>316</v>
      </c>
      <c r="G114" s="3">
        <v>40</v>
      </c>
      <c r="H114" s="9" t="s">
        <v>318</v>
      </c>
      <c r="K114">
        <f t="shared" si="2"/>
        <v>3021</v>
      </c>
      <c r="L114">
        <f t="shared" si="3"/>
        <v>7.4071349760941527E-2</v>
      </c>
    </row>
    <row r="115" spans="1:12" x14ac:dyDescent="0.3">
      <c r="A115" s="3">
        <v>1957</v>
      </c>
      <c r="B115" s="3">
        <v>877</v>
      </c>
      <c r="C115" s="3">
        <v>238</v>
      </c>
      <c r="D115" s="3">
        <v>17613</v>
      </c>
      <c r="E115" s="3" t="s">
        <v>321</v>
      </c>
      <c r="F115" s="3" t="s">
        <v>311</v>
      </c>
      <c r="G115" s="3">
        <v>297</v>
      </c>
      <c r="H115" s="9" t="s">
        <v>333</v>
      </c>
      <c r="K115">
        <f t="shared" si="2"/>
        <v>3072</v>
      </c>
      <c r="L115">
        <f t="shared" si="3"/>
        <v>0.17441662408448305</v>
      </c>
    </row>
    <row r="116" spans="1:12" x14ac:dyDescent="0.3">
      <c r="A116" s="3">
        <v>4419</v>
      </c>
      <c r="B116" s="3">
        <v>236</v>
      </c>
      <c r="C116" s="3">
        <v>369</v>
      </c>
      <c r="D116" s="3">
        <v>44190</v>
      </c>
      <c r="E116" s="3" t="s">
        <v>326</v>
      </c>
      <c r="F116" s="3" t="s">
        <v>311</v>
      </c>
      <c r="G116" s="3">
        <v>10</v>
      </c>
      <c r="H116" s="9" t="s">
        <v>322</v>
      </c>
      <c r="K116">
        <f t="shared" si="2"/>
        <v>5024</v>
      </c>
      <c r="L116">
        <f t="shared" si="3"/>
        <v>0.11369088028965829</v>
      </c>
    </row>
    <row r="117" spans="1:12" x14ac:dyDescent="0.3">
      <c r="A117" s="3">
        <v>4000</v>
      </c>
      <c r="B117" s="3">
        <v>689</v>
      </c>
      <c r="C117" s="3">
        <v>488</v>
      </c>
      <c r="D117" s="3">
        <v>40000</v>
      </c>
      <c r="E117" s="3" t="s">
        <v>321</v>
      </c>
      <c r="F117" s="3" t="s">
        <v>311</v>
      </c>
      <c r="G117" s="3">
        <v>44</v>
      </c>
      <c r="H117" s="9" t="s">
        <v>333</v>
      </c>
      <c r="K117">
        <f t="shared" si="2"/>
        <v>5177</v>
      </c>
      <c r="L117">
        <f t="shared" si="3"/>
        <v>0.12942500000000001</v>
      </c>
    </row>
    <row r="118" spans="1:12" x14ac:dyDescent="0.3">
      <c r="A118" s="3">
        <v>2493</v>
      </c>
      <c r="B118" s="3">
        <v>97</v>
      </c>
      <c r="C118" s="3">
        <v>44</v>
      </c>
      <c r="D118" s="3">
        <v>42381</v>
      </c>
      <c r="E118" s="3" t="s">
        <v>329</v>
      </c>
      <c r="F118" s="3" t="s">
        <v>311</v>
      </c>
      <c r="G118" s="3">
        <v>242</v>
      </c>
      <c r="H118" s="9" t="s">
        <v>318</v>
      </c>
      <c r="I118" t="s">
        <v>523</v>
      </c>
      <c r="K118">
        <f t="shared" si="2"/>
        <v>2634</v>
      </c>
      <c r="L118">
        <f t="shared" si="3"/>
        <v>6.2150491965739366E-2</v>
      </c>
    </row>
    <row r="119" spans="1:12" x14ac:dyDescent="0.3">
      <c r="A119" s="3">
        <v>3704</v>
      </c>
      <c r="B119" s="3">
        <v>186</v>
      </c>
      <c r="C119" s="3">
        <v>458</v>
      </c>
      <c r="D119" s="3">
        <v>25928</v>
      </c>
      <c r="E119" s="3" t="s">
        <v>313</v>
      </c>
      <c r="F119" s="3" t="s">
        <v>316</v>
      </c>
      <c r="G119" s="3">
        <v>131</v>
      </c>
      <c r="H119" s="9" t="s">
        <v>318</v>
      </c>
      <c r="K119">
        <f t="shared" si="2"/>
        <v>4348</v>
      </c>
      <c r="L119">
        <f t="shared" si="3"/>
        <v>0.16769515581610614</v>
      </c>
    </row>
    <row r="120" spans="1:12" x14ac:dyDescent="0.3">
      <c r="A120" s="3">
        <v>1606</v>
      </c>
      <c r="B120" s="3">
        <v>451</v>
      </c>
      <c r="C120" s="3">
        <v>405</v>
      </c>
      <c r="D120" s="3">
        <v>20878</v>
      </c>
      <c r="E120" s="3" t="s">
        <v>329</v>
      </c>
      <c r="F120" s="3" t="s">
        <v>311</v>
      </c>
      <c r="G120" s="3">
        <v>219</v>
      </c>
      <c r="H120" s="9" t="s">
        <v>322</v>
      </c>
      <c r="K120">
        <f t="shared" si="2"/>
        <v>2462</v>
      </c>
      <c r="L120">
        <f t="shared" si="3"/>
        <v>0.11792317271769326</v>
      </c>
    </row>
    <row r="121" spans="1:12" x14ac:dyDescent="0.3">
      <c r="A121" s="3">
        <v>4551</v>
      </c>
      <c r="B121" s="3">
        <v>714</v>
      </c>
      <c r="C121" s="3">
        <v>207</v>
      </c>
      <c r="D121" s="3">
        <v>68265</v>
      </c>
      <c r="E121" s="3" t="s">
        <v>329</v>
      </c>
      <c r="F121" s="3" t="s">
        <v>324</v>
      </c>
      <c r="G121" s="3">
        <v>57</v>
      </c>
      <c r="H121" s="9" t="s">
        <v>333</v>
      </c>
      <c r="K121">
        <f t="shared" si="2"/>
        <v>5472</v>
      </c>
      <c r="L121">
        <f t="shared" si="3"/>
        <v>8.0158206987475278E-2</v>
      </c>
    </row>
    <row r="122" spans="1:12" x14ac:dyDescent="0.3">
      <c r="A122" s="3">
        <v>1970</v>
      </c>
      <c r="B122" s="3">
        <v>675</v>
      </c>
      <c r="C122" s="3">
        <v>478</v>
      </c>
      <c r="D122" s="3">
        <v>9850</v>
      </c>
      <c r="E122" s="3" t="s">
        <v>313</v>
      </c>
      <c r="F122" s="3" t="s">
        <v>319</v>
      </c>
      <c r="G122" s="3">
        <v>117</v>
      </c>
      <c r="H122" s="9" t="s">
        <v>333</v>
      </c>
      <c r="K122">
        <f t="shared" si="2"/>
        <v>3123</v>
      </c>
      <c r="L122">
        <f t="shared" si="3"/>
        <v>0.31705583756345179</v>
      </c>
    </row>
    <row r="123" spans="1:12" x14ac:dyDescent="0.3">
      <c r="A123" s="3">
        <v>780</v>
      </c>
      <c r="B123" s="3">
        <v>928</v>
      </c>
      <c r="C123" s="3">
        <v>301</v>
      </c>
      <c r="D123" s="3">
        <v>8580</v>
      </c>
      <c r="E123" s="3" t="s">
        <v>321</v>
      </c>
      <c r="F123" s="3" t="s">
        <v>324</v>
      </c>
      <c r="G123" s="3">
        <v>91</v>
      </c>
      <c r="H123" s="9" t="s">
        <v>322</v>
      </c>
      <c r="K123">
        <f t="shared" si="2"/>
        <v>2009</v>
      </c>
      <c r="L123">
        <f t="shared" si="3"/>
        <v>0.23414918414918415</v>
      </c>
    </row>
    <row r="124" spans="1:12" x14ac:dyDescent="0.3">
      <c r="A124" s="3">
        <v>498</v>
      </c>
      <c r="B124" s="3">
        <v>701</v>
      </c>
      <c r="C124" s="3">
        <v>412</v>
      </c>
      <c r="D124" s="3">
        <v>4980</v>
      </c>
      <c r="E124" s="3" t="s">
        <v>321</v>
      </c>
      <c r="F124" s="3" t="s">
        <v>319</v>
      </c>
      <c r="G124" s="3">
        <v>185</v>
      </c>
      <c r="H124" s="9" t="s">
        <v>333</v>
      </c>
      <c r="K124">
        <f t="shared" si="2"/>
        <v>1611</v>
      </c>
      <c r="L124">
        <f t="shared" si="3"/>
        <v>0.32349397590361445</v>
      </c>
    </row>
    <row r="125" spans="1:12" x14ac:dyDescent="0.3">
      <c r="A125" s="3">
        <v>3432</v>
      </c>
      <c r="B125" s="3">
        <v>869</v>
      </c>
      <c r="C125" s="3">
        <v>123</v>
      </c>
      <c r="D125" s="3">
        <v>54912</v>
      </c>
      <c r="E125" s="3" t="s">
        <v>315</v>
      </c>
      <c r="F125" s="3" t="s">
        <v>319</v>
      </c>
      <c r="G125" s="3">
        <v>264</v>
      </c>
      <c r="H125" s="9" t="s">
        <v>322</v>
      </c>
      <c r="K125">
        <f t="shared" si="2"/>
        <v>4424</v>
      </c>
      <c r="L125">
        <f t="shared" si="3"/>
        <v>8.0565268065268064E-2</v>
      </c>
    </row>
    <row r="126" spans="1:12" x14ac:dyDescent="0.3">
      <c r="A126" s="3">
        <v>4363</v>
      </c>
      <c r="B126" s="3">
        <v>649</v>
      </c>
      <c r="C126" s="3">
        <v>140</v>
      </c>
      <c r="D126" s="3">
        <v>21815</v>
      </c>
      <c r="E126" s="3" t="s">
        <v>321</v>
      </c>
      <c r="F126" s="3" t="s">
        <v>319</v>
      </c>
      <c r="G126" s="3">
        <v>157</v>
      </c>
      <c r="H126" s="9" t="s">
        <v>322</v>
      </c>
      <c r="K126">
        <f t="shared" si="2"/>
        <v>5152</v>
      </c>
      <c r="L126">
        <f t="shared" si="3"/>
        <v>0.23616777446710979</v>
      </c>
    </row>
    <row r="127" spans="1:12" x14ac:dyDescent="0.3">
      <c r="A127" s="3">
        <v>736</v>
      </c>
      <c r="B127" s="3">
        <v>771</v>
      </c>
      <c r="C127" s="3">
        <v>225</v>
      </c>
      <c r="D127" s="3">
        <v>5152</v>
      </c>
      <c r="E127" s="3" t="s">
        <v>326</v>
      </c>
      <c r="F127" s="3" t="s">
        <v>316</v>
      </c>
      <c r="G127" s="3">
        <v>19</v>
      </c>
      <c r="H127" s="9" t="s">
        <v>322</v>
      </c>
      <c r="K127">
        <f t="shared" si="2"/>
        <v>1732</v>
      </c>
      <c r="L127">
        <f t="shared" si="3"/>
        <v>0.33618012422360249</v>
      </c>
    </row>
    <row r="128" spans="1:12" x14ac:dyDescent="0.3">
      <c r="A128" s="3">
        <v>3811</v>
      </c>
      <c r="B128" s="3">
        <v>866</v>
      </c>
      <c r="C128" s="3">
        <v>216</v>
      </c>
      <c r="D128" s="3">
        <v>34299</v>
      </c>
      <c r="E128" s="3" t="s">
        <v>326</v>
      </c>
      <c r="F128" s="3" t="s">
        <v>311</v>
      </c>
      <c r="G128" s="3">
        <v>233</v>
      </c>
      <c r="H128" s="9" t="s">
        <v>318</v>
      </c>
      <c r="K128">
        <f t="shared" si="2"/>
        <v>4893</v>
      </c>
      <c r="L128">
        <f t="shared" si="3"/>
        <v>0.14265722032712325</v>
      </c>
    </row>
    <row r="129" spans="1:12" x14ac:dyDescent="0.3">
      <c r="A129" s="3">
        <v>4158</v>
      </c>
      <c r="B129" s="3">
        <v>167</v>
      </c>
      <c r="C129" s="3">
        <v>241</v>
      </c>
      <c r="D129" s="3">
        <v>45738</v>
      </c>
      <c r="E129" s="3" t="s">
        <v>326</v>
      </c>
      <c r="F129" s="3" t="s">
        <v>319</v>
      </c>
      <c r="G129" s="3">
        <v>142</v>
      </c>
      <c r="H129" s="9" t="s">
        <v>333</v>
      </c>
      <c r="K129">
        <f t="shared" si="2"/>
        <v>4566</v>
      </c>
      <c r="L129">
        <f t="shared" si="3"/>
        <v>9.9829463465827106E-2</v>
      </c>
    </row>
    <row r="130" spans="1:12" x14ac:dyDescent="0.3">
      <c r="A130" s="3">
        <v>3452</v>
      </c>
      <c r="B130" s="3">
        <v>652</v>
      </c>
      <c r="C130" s="3">
        <v>442</v>
      </c>
      <c r="D130" s="3">
        <v>65588</v>
      </c>
      <c r="E130" s="3" t="s">
        <v>313</v>
      </c>
      <c r="F130" s="3" t="s">
        <v>324</v>
      </c>
      <c r="G130" s="3">
        <v>158</v>
      </c>
      <c r="H130" s="9" t="s">
        <v>333</v>
      </c>
      <c r="K130">
        <f t="shared" si="2"/>
        <v>4546</v>
      </c>
      <c r="L130">
        <f t="shared" si="3"/>
        <v>6.9311459413307311E-2</v>
      </c>
    </row>
    <row r="131" spans="1:12" x14ac:dyDescent="0.3">
      <c r="A131" s="3">
        <v>3092</v>
      </c>
      <c r="B131" s="3">
        <v>106</v>
      </c>
      <c r="C131" s="3">
        <v>291</v>
      </c>
      <c r="D131" s="3">
        <v>27828</v>
      </c>
      <c r="E131" s="3" t="s">
        <v>329</v>
      </c>
      <c r="F131" s="3" t="s">
        <v>311</v>
      </c>
      <c r="G131" s="3">
        <v>102</v>
      </c>
      <c r="H131" s="9" t="s">
        <v>333</v>
      </c>
      <c r="K131">
        <f t="shared" si="2"/>
        <v>3489</v>
      </c>
      <c r="L131">
        <f t="shared" si="3"/>
        <v>0.12537731780940059</v>
      </c>
    </row>
    <row r="132" spans="1:12" x14ac:dyDescent="0.3">
      <c r="A132" s="3">
        <v>2147</v>
      </c>
      <c r="B132" s="3">
        <v>430</v>
      </c>
      <c r="C132" s="3">
        <v>393</v>
      </c>
      <c r="D132" s="3">
        <v>17176</v>
      </c>
      <c r="E132" s="3" t="s">
        <v>315</v>
      </c>
      <c r="F132" s="3" t="s">
        <v>311</v>
      </c>
      <c r="G132" s="3">
        <v>170</v>
      </c>
      <c r="H132" s="9" t="s">
        <v>318</v>
      </c>
      <c r="K132">
        <f t="shared" ref="K132:K195" si="4">SUM(A132+B132+C132)</f>
        <v>2970</v>
      </c>
      <c r="L132">
        <f t="shared" ref="L132:L195" si="5">AVERAGE(K132/D132)</f>
        <v>0.17291569632044715</v>
      </c>
    </row>
    <row r="133" spans="1:12" x14ac:dyDescent="0.3">
      <c r="A133" s="3">
        <v>2936</v>
      </c>
      <c r="B133" s="3">
        <v>439</v>
      </c>
      <c r="C133" s="3">
        <v>44</v>
      </c>
      <c r="D133" s="3">
        <v>38168</v>
      </c>
      <c r="E133" s="3" t="s">
        <v>313</v>
      </c>
      <c r="F133" s="3" t="s">
        <v>316</v>
      </c>
      <c r="G133" s="3">
        <v>22</v>
      </c>
      <c r="H133" s="9" t="s">
        <v>322</v>
      </c>
      <c r="K133">
        <f t="shared" si="4"/>
        <v>3419</v>
      </c>
      <c r="L133">
        <f t="shared" si="5"/>
        <v>8.9577656675749323E-2</v>
      </c>
    </row>
    <row r="134" spans="1:12" x14ac:dyDescent="0.3">
      <c r="A134" s="3">
        <v>4840</v>
      </c>
      <c r="B134" s="3">
        <v>658</v>
      </c>
      <c r="C134" s="3">
        <v>211</v>
      </c>
      <c r="D134" s="3">
        <v>43560</v>
      </c>
      <c r="E134" s="3" t="s">
        <v>313</v>
      </c>
      <c r="F134" s="3" t="s">
        <v>319</v>
      </c>
      <c r="G134" s="3">
        <v>57</v>
      </c>
      <c r="H134" s="9" t="s">
        <v>333</v>
      </c>
      <c r="K134">
        <f t="shared" si="4"/>
        <v>5709</v>
      </c>
      <c r="L134">
        <f t="shared" si="5"/>
        <v>0.13106060606060607</v>
      </c>
    </row>
    <row r="135" spans="1:12" x14ac:dyDescent="0.3">
      <c r="A135" s="3">
        <v>1947</v>
      </c>
      <c r="B135" s="3">
        <v>842</v>
      </c>
      <c r="C135" s="3">
        <v>101</v>
      </c>
      <c r="D135" s="3">
        <v>21417</v>
      </c>
      <c r="E135" s="3" t="s">
        <v>321</v>
      </c>
      <c r="F135" s="3" t="s">
        <v>319</v>
      </c>
      <c r="G135" s="3">
        <v>186</v>
      </c>
      <c r="H135" s="9" t="s">
        <v>333</v>
      </c>
      <c r="K135">
        <f t="shared" si="4"/>
        <v>2890</v>
      </c>
      <c r="L135">
        <f t="shared" si="5"/>
        <v>0.13493953401503478</v>
      </c>
    </row>
    <row r="136" spans="1:12" x14ac:dyDescent="0.3">
      <c r="A136" s="3">
        <v>2072</v>
      </c>
      <c r="B136" s="3">
        <v>532</v>
      </c>
      <c r="C136" s="3">
        <v>71</v>
      </c>
      <c r="D136" s="3">
        <v>37296</v>
      </c>
      <c r="E136" s="3" t="s">
        <v>329</v>
      </c>
      <c r="F136" s="3" t="s">
        <v>324</v>
      </c>
      <c r="G136" s="3">
        <v>25</v>
      </c>
      <c r="H136" s="9" t="s">
        <v>318</v>
      </c>
      <c r="K136">
        <f t="shared" si="4"/>
        <v>2675</v>
      </c>
      <c r="L136">
        <f t="shared" si="5"/>
        <v>7.172350922350923E-2</v>
      </c>
    </row>
    <row r="137" spans="1:12" x14ac:dyDescent="0.3">
      <c r="A137" s="3">
        <v>3731</v>
      </c>
      <c r="B137" s="3">
        <v>115</v>
      </c>
      <c r="C137" s="3">
        <v>135</v>
      </c>
      <c r="D137" s="3">
        <v>55965</v>
      </c>
      <c r="E137" s="3" t="s">
        <v>313</v>
      </c>
      <c r="F137" s="3" t="s">
        <v>311</v>
      </c>
      <c r="G137" s="3">
        <v>103</v>
      </c>
      <c r="H137" s="9" t="s">
        <v>318</v>
      </c>
      <c r="K137">
        <f t="shared" si="4"/>
        <v>3981</v>
      </c>
      <c r="L137">
        <f t="shared" si="5"/>
        <v>7.1133744304476013E-2</v>
      </c>
    </row>
    <row r="138" spans="1:12" x14ac:dyDescent="0.3">
      <c r="A138" s="3">
        <v>4213</v>
      </c>
      <c r="B138" s="3">
        <v>253</v>
      </c>
      <c r="C138" s="3">
        <v>434</v>
      </c>
      <c r="D138" s="3">
        <v>75834</v>
      </c>
      <c r="E138" s="3" t="s">
        <v>315</v>
      </c>
      <c r="F138" s="3" t="s">
        <v>324</v>
      </c>
      <c r="G138" s="3">
        <v>272</v>
      </c>
      <c r="H138" s="9" t="s">
        <v>333</v>
      </c>
      <c r="K138">
        <f t="shared" si="4"/>
        <v>4900</v>
      </c>
      <c r="L138">
        <f t="shared" si="5"/>
        <v>6.461481657304112E-2</v>
      </c>
    </row>
    <row r="139" spans="1:12" x14ac:dyDescent="0.3">
      <c r="A139" s="3">
        <v>3134</v>
      </c>
      <c r="B139" s="3">
        <v>888</v>
      </c>
      <c r="C139" s="3">
        <v>444</v>
      </c>
      <c r="D139" s="3">
        <v>21938</v>
      </c>
      <c r="E139" s="3" t="s">
        <v>315</v>
      </c>
      <c r="F139" s="3" t="s">
        <v>319</v>
      </c>
      <c r="G139" s="3">
        <v>130</v>
      </c>
      <c r="H139" s="9" t="s">
        <v>322</v>
      </c>
      <c r="K139">
        <f t="shared" si="4"/>
        <v>4466</v>
      </c>
      <c r="L139">
        <f t="shared" si="5"/>
        <v>0.20357370772176134</v>
      </c>
    </row>
    <row r="140" spans="1:12" x14ac:dyDescent="0.3">
      <c r="A140" s="3">
        <v>3008</v>
      </c>
      <c r="B140" s="3">
        <v>94</v>
      </c>
      <c r="C140" s="3">
        <v>37</v>
      </c>
      <c r="D140" s="3">
        <v>15040</v>
      </c>
      <c r="E140" s="3" t="s">
        <v>338</v>
      </c>
      <c r="F140" s="3" t="s">
        <v>324</v>
      </c>
      <c r="G140" s="3">
        <v>277</v>
      </c>
      <c r="H140" s="9" t="s">
        <v>333</v>
      </c>
      <c r="K140">
        <f t="shared" si="4"/>
        <v>3139</v>
      </c>
      <c r="L140">
        <f t="shared" si="5"/>
        <v>0.20871010638297871</v>
      </c>
    </row>
    <row r="141" spans="1:12" x14ac:dyDescent="0.3">
      <c r="A141" s="3">
        <v>305</v>
      </c>
      <c r="B141" s="3">
        <v>187</v>
      </c>
      <c r="C141" s="3">
        <v>243</v>
      </c>
      <c r="D141" s="3">
        <v>4575</v>
      </c>
      <c r="E141" s="3" t="s">
        <v>329</v>
      </c>
      <c r="F141" s="3" t="s">
        <v>311</v>
      </c>
      <c r="G141" s="3">
        <v>234</v>
      </c>
      <c r="H141" s="9" t="s">
        <v>333</v>
      </c>
      <c r="K141">
        <f t="shared" si="4"/>
        <v>735</v>
      </c>
      <c r="L141">
        <f t="shared" si="5"/>
        <v>0.16065573770491803</v>
      </c>
    </row>
    <row r="142" spans="1:12" x14ac:dyDescent="0.3">
      <c r="A142" s="3">
        <v>2746</v>
      </c>
      <c r="B142" s="3">
        <v>156</v>
      </c>
      <c r="C142" s="3">
        <v>203</v>
      </c>
      <c r="D142" s="3">
        <v>32952</v>
      </c>
      <c r="E142" s="3" t="s">
        <v>315</v>
      </c>
      <c r="F142" s="3" t="s">
        <v>316</v>
      </c>
      <c r="G142" s="3">
        <v>147</v>
      </c>
      <c r="H142" s="9" t="s">
        <v>322</v>
      </c>
      <c r="K142">
        <f t="shared" si="4"/>
        <v>3105</v>
      </c>
      <c r="L142">
        <f t="shared" si="5"/>
        <v>9.422796795338674E-2</v>
      </c>
    </row>
    <row r="143" spans="1:12" x14ac:dyDescent="0.3">
      <c r="A143" s="3">
        <v>2291</v>
      </c>
      <c r="B143" s="3">
        <v>78</v>
      </c>
      <c r="C143" s="3">
        <v>485</v>
      </c>
      <c r="D143" s="3">
        <v>18328</v>
      </c>
      <c r="E143" s="3" t="s">
        <v>329</v>
      </c>
      <c r="F143" s="3" t="s">
        <v>324</v>
      </c>
      <c r="G143" s="3">
        <v>10</v>
      </c>
      <c r="H143" s="9" t="s">
        <v>322</v>
      </c>
      <c r="I143" t="s">
        <v>525</v>
      </c>
      <c r="K143">
        <f t="shared" si="4"/>
        <v>2854</v>
      </c>
      <c r="L143">
        <f t="shared" si="5"/>
        <v>0.15571802706241816</v>
      </c>
    </row>
    <row r="144" spans="1:12" x14ac:dyDescent="0.3">
      <c r="A144" s="3">
        <v>3170</v>
      </c>
      <c r="B144" s="3">
        <v>857</v>
      </c>
      <c r="C144" s="3">
        <v>379</v>
      </c>
      <c r="D144" s="3">
        <v>19020</v>
      </c>
      <c r="E144" s="3" t="s">
        <v>329</v>
      </c>
      <c r="F144" s="3" t="s">
        <v>311</v>
      </c>
      <c r="G144" s="3">
        <v>240</v>
      </c>
      <c r="H144" s="9" t="s">
        <v>333</v>
      </c>
      <c r="K144">
        <f t="shared" si="4"/>
        <v>4406</v>
      </c>
      <c r="L144">
        <f t="shared" si="5"/>
        <v>0.2316508937960042</v>
      </c>
    </row>
    <row r="145" spans="1:12" x14ac:dyDescent="0.3">
      <c r="A145" s="3">
        <v>2070</v>
      </c>
      <c r="B145" s="3">
        <v>275</v>
      </c>
      <c r="C145" s="3">
        <v>386</v>
      </c>
      <c r="D145" s="3">
        <v>39330</v>
      </c>
      <c r="E145" s="3" t="s">
        <v>321</v>
      </c>
      <c r="F145" s="3" t="s">
        <v>316</v>
      </c>
      <c r="G145" s="3">
        <v>114</v>
      </c>
      <c r="H145" s="9" t="s">
        <v>333</v>
      </c>
      <c r="K145">
        <f t="shared" si="4"/>
        <v>2731</v>
      </c>
      <c r="L145">
        <f t="shared" si="5"/>
        <v>6.9438087973557078E-2</v>
      </c>
    </row>
    <row r="146" spans="1:12" x14ac:dyDescent="0.3">
      <c r="A146" s="3">
        <v>80</v>
      </c>
      <c r="B146" s="3">
        <v>362</v>
      </c>
      <c r="C146" s="3">
        <v>80</v>
      </c>
      <c r="D146" s="3">
        <v>1040</v>
      </c>
      <c r="E146" s="3" t="s">
        <v>326</v>
      </c>
      <c r="F146" s="3" t="s">
        <v>316</v>
      </c>
      <c r="G146" s="3">
        <v>117</v>
      </c>
      <c r="H146" s="9" t="s">
        <v>318</v>
      </c>
      <c r="K146">
        <f t="shared" si="4"/>
        <v>522</v>
      </c>
      <c r="L146">
        <f t="shared" si="5"/>
        <v>0.50192307692307692</v>
      </c>
    </row>
    <row r="147" spans="1:12" x14ac:dyDescent="0.3">
      <c r="A147" s="3">
        <v>4929</v>
      </c>
      <c r="B147" s="3">
        <v>749</v>
      </c>
      <c r="C147" s="3">
        <v>452</v>
      </c>
      <c r="D147" s="3">
        <v>93651</v>
      </c>
      <c r="E147" s="3" t="s">
        <v>321</v>
      </c>
      <c r="F147" s="3" t="s">
        <v>316</v>
      </c>
      <c r="G147" s="3">
        <v>66</v>
      </c>
      <c r="H147" s="9" t="s">
        <v>322</v>
      </c>
      <c r="K147">
        <f t="shared" si="4"/>
        <v>6130</v>
      </c>
      <c r="L147">
        <f t="shared" si="5"/>
        <v>6.5455787978772245E-2</v>
      </c>
    </row>
    <row r="148" spans="1:12" x14ac:dyDescent="0.3">
      <c r="A148" s="3">
        <v>1878</v>
      </c>
      <c r="B148" s="3">
        <v>62</v>
      </c>
      <c r="C148" s="3">
        <v>179</v>
      </c>
      <c r="D148" s="3">
        <v>37560</v>
      </c>
      <c r="E148" s="3" t="s">
        <v>326</v>
      </c>
      <c r="F148" s="3" t="s">
        <v>319</v>
      </c>
      <c r="G148" s="3">
        <v>142</v>
      </c>
      <c r="H148" s="9" t="s">
        <v>318</v>
      </c>
      <c r="K148">
        <f t="shared" si="4"/>
        <v>2119</v>
      </c>
      <c r="L148">
        <f t="shared" si="5"/>
        <v>5.6416400425985093E-2</v>
      </c>
    </row>
    <row r="149" spans="1:12" x14ac:dyDescent="0.3">
      <c r="A149" s="3">
        <v>3065</v>
      </c>
      <c r="B149" s="3">
        <v>772</v>
      </c>
      <c r="C149" s="3">
        <v>142</v>
      </c>
      <c r="D149" s="3">
        <v>18390</v>
      </c>
      <c r="E149" s="3" t="s">
        <v>313</v>
      </c>
      <c r="F149" s="3" t="s">
        <v>316</v>
      </c>
      <c r="G149" s="3">
        <v>200</v>
      </c>
      <c r="H149" s="9" t="s">
        <v>322</v>
      </c>
      <c r="I149" t="s">
        <v>523</v>
      </c>
      <c r="K149">
        <f t="shared" si="4"/>
        <v>3979</v>
      </c>
      <c r="L149">
        <f t="shared" si="5"/>
        <v>0.21636759108210984</v>
      </c>
    </row>
    <row r="150" spans="1:12" x14ac:dyDescent="0.3">
      <c r="A150" s="3">
        <v>3256</v>
      </c>
      <c r="B150" s="3">
        <v>459</v>
      </c>
      <c r="C150" s="3">
        <v>266</v>
      </c>
      <c r="D150" s="3">
        <v>26048</v>
      </c>
      <c r="E150" s="3" t="s">
        <v>313</v>
      </c>
      <c r="F150" s="3" t="s">
        <v>319</v>
      </c>
      <c r="G150" s="3">
        <v>143</v>
      </c>
      <c r="H150" s="9" t="s">
        <v>318</v>
      </c>
      <c r="K150">
        <f t="shared" si="4"/>
        <v>3981</v>
      </c>
      <c r="L150">
        <f t="shared" si="5"/>
        <v>0.15283323095823095</v>
      </c>
    </row>
    <row r="151" spans="1:12" x14ac:dyDescent="0.3">
      <c r="A151" s="3">
        <v>4133</v>
      </c>
      <c r="B151" s="3">
        <v>466</v>
      </c>
      <c r="C151" s="3">
        <v>327</v>
      </c>
      <c r="D151" s="3">
        <v>24798</v>
      </c>
      <c r="E151" s="3" t="s">
        <v>338</v>
      </c>
      <c r="F151" s="3" t="s">
        <v>319</v>
      </c>
      <c r="G151" s="3">
        <v>176</v>
      </c>
      <c r="H151" s="9" t="s">
        <v>322</v>
      </c>
      <c r="K151">
        <f t="shared" si="4"/>
        <v>4926</v>
      </c>
      <c r="L151">
        <f t="shared" si="5"/>
        <v>0.19864505202032423</v>
      </c>
    </row>
    <row r="152" spans="1:12" x14ac:dyDescent="0.3">
      <c r="A152" s="3">
        <v>1702</v>
      </c>
      <c r="B152" s="3">
        <v>750</v>
      </c>
      <c r="C152" s="3">
        <v>179</v>
      </c>
      <c r="D152" s="3">
        <v>34040</v>
      </c>
      <c r="E152" s="3" t="s">
        <v>338</v>
      </c>
      <c r="F152" s="3" t="s">
        <v>311</v>
      </c>
      <c r="G152" s="3">
        <v>76</v>
      </c>
      <c r="H152" s="9" t="s">
        <v>322</v>
      </c>
      <c r="K152">
        <f t="shared" si="4"/>
        <v>2631</v>
      </c>
      <c r="L152">
        <f t="shared" si="5"/>
        <v>7.7291421856639245E-2</v>
      </c>
    </row>
    <row r="153" spans="1:12" x14ac:dyDescent="0.3">
      <c r="A153" s="3">
        <v>4295</v>
      </c>
      <c r="B153" s="3">
        <v>853</v>
      </c>
      <c r="C153" s="3">
        <v>325</v>
      </c>
      <c r="D153" s="3">
        <v>85900</v>
      </c>
      <c r="E153" s="3" t="s">
        <v>326</v>
      </c>
      <c r="F153" s="3" t="s">
        <v>316</v>
      </c>
      <c r="G153" s="3">
        <v>290</v>
      </c>
      <c r="H153" s="9" t="s">
        <v>318</v>
      </c>
      <c r="K153">
        <f t="shared" si="4"/>
        <v>5473</v>
      </c>
      <c r="L153">
        <f t="shared" si="5"/>
        <v>6.3713620488940623E-2</v>
      </c>
    </row>
    <row r="154" spans="1:12" x14ac:dyDescent="0.3">
      <c r="A154" s="3">
        <v>3559</v>
      </c>
      <c r="B154" s="3">
        <v>59</v>
      </c>
      <c r="C154" s="3">
        <v>289</v>
      </c>
      <c r="D154" s="3">
        <v>35590</v>
      </c>
      <c r="E154" s="3" t="s">
        <v>329</v>
      </c>
      <c r="F154" s="3" t="s">
        <v>319</v>
      </c>
      <c r="G154" s="3">
        <v>122</v>
      </c>
      <c r="H154" s="9" t="s">
        <v>322</v>
      </c>
      <c r="K154">
        <f t="shared" si="4"/>
        <v>3907</v>
      </c>
      <c r="L154">
        <f t="shared" si="5"/>
        <v>0.10977802753582468</v>
      </c>
    </row>
    <row r="155" spans="1:12" x14ac:dyDescent="0.3">
      <c r="A155" s="3">
        <v>4804</v>
      </c>
      <c r="B155" s="3">
        <v>550</v>
      </c>
      <c r="C155" s="3">
        <v>270</v>
      </c>
      <c r="D155" s="3">
        <v>28824</v>
      </c>
      <c r="E155" s="3" t="s">
        <v>329</v>
      </c>
      <c r="F155" s="3" t="s">
        <v>324</v>
      </c>
      <c r="G155" s="3">
        <v>47</v>
      </c>
      <c r="H155" s="9" t="s">
        <v>322</v>
      </c>
      <c r="K155">
        <f t="shared" si="4"/>
        <v>5624</v>
      </c>
      <c r="L155">
        <f t="shared" si="5"/>
        <v>0.19511518179295032</v>
      </c>
    </row>
    <row r="156" spans="1:12" x14ac:dyDescent="0.3">
      <c r="A156" s="3">
        <v>754</v>
      </c>
      <c r="B156" s="3">
        <v>197</v>
      </c>
      <c r="C156" s="3">
        <v>257</v>
      </c>
      <c r="D156" s="3">
        <v>6786</v>
      </c>
      <c r="E156" s="3" t="s">
        <v>338</v>
      </c>
      <c r="F156" s="3" t="s">
        <v>311</v>
      </c>
      <c r="G156" s="3">
        <v>212</v>
      </c>
      <c r="H156" s="9" t="s">
        <v>318</v>
      </c>
      <c r="K156">
        <f t="shared" si="4"/>
        <v>1208</v>
      </c>
      <c r="L156">
        <f t="shared" si="5"/>
        <v>0.17801355732390214</v>
      </c>
    </row>
    <row r="157" spans="1:12" x14ac:dyDescent="0.3">
      <c r="A157" s="3">
        <v>985</v>
      </c>
      <c r="B157" s="3">
        <v>932</v>
      </c>
      <c r="C157" s="3">
        <v>287</v>
      </c>
      <c r="D157" s="3">
        <v>6895</v>
      </c>
      <c r="E157" s="3" t="s">
        <v>326</v>
      </c>
      <c r="F157" s="3" t="s">
        <v>319</v>
      </c>
      <c r="G157" s="3">
        <v>64</v>
      </c>
      <c r="H157" s="9" t="s">
        <v>333</v>
      </c>
      <c r="K157">
        <f t="shared" si="4"/>
        <v>2204</v>
      </c>
      <c r="L157">
        <f t="shared" si="5"/>
        <v>0.31965192168237855</v>
      </c>
    </row>
    <row r="158" spans="1:12" x14ac:dyDescent="0.3">
      <c r="A158" s="3">
        <v>2283</v>
      </c>
      <c r="B158" s="3">
        <v>210</v>
      </c>
      <c r="C158" s="3">
        <v>130</v>
      </c>
      <c r="D158" s="3">
        <v>22830</v>
      </c>
      <c r="E158" s="3" t="s">
        <v>329</v>
      </c>
      <c r="F158" s="3" t="s">
        <v>316</v>
      </c>
      <c r="G158" s="3">
        <v>143</v>
      </c>
      <c r="H158" s="9" t="s">
        <v>333</v>
      </c>
      <c r="K158">
        <f t="shared" si="4"/>
        <v>2623</v>
      </c>
      <c r="L158">
        <f t="shared" si="5"/>
        <v>0.11489268506351293</v>
      </c>
    </row>
    <row r="159" spans="1:12" x14ac:dyDescent="0.3">
      <c r="A159" s="3">
        <v>3352</v>
      </c>
      <c r="B159" s="3">
        <v>941</v>
      </c>
      <c r="C159" s="3">
        <v>482</v>
      </c>
      <c r="D159" s="3">
        <v>43576</v>
      </c>
      <c r="E159" s="3" t="s">
        <v>326</v>
      </c>
      <c r="F159" s="3" t="s">
        <v>324</v>
      </c>
      <c r="G159" s="3">
        <v>240</v>
      </c>
      <c r="H159" s="9" t="s">
        <v>333</v>
      </c>
      <c r="K159">
        <f t="shared" si="4"/>
        <v>4775</v>
      </c>
      <c r="L159">
        <f t="shared" si="5"/>
        <v>0.1095786671562328</v>
      </c>
    </row>
    <row r="160" spans="1:12" x14ac:dyDescent="0.3">
      <c r="A160" s="3">
        <v>4775</v>
      </c>
      <c r="B160" s="3">
        <v>173</v>
      </c>
      <c r="C160" s="3">
        <v>206</v>
      </c>
      <c r="D160" s="3">
        <v>47750</v>
      </c>
      <c r="E160" s="3" t="s">
        <v>321</v>
      </c>
      <c r="F160" s="3" t="s">
        <v>316</v>
      </c>
      <c r="G160" s="3">
        <v>187</v>
      </c>
      <c r="H160" s="9" t="s">
        <v>333</v>
      </c>
      <c r="K160">
        <f t="shared" si="4"/>
        <v>5154</v>
      </c>
      <c r="L160">
        <f t="shared" si="5"/>
        <v>0.10793717277486911</v>
      </c>
    </row>
    <row r="161" spans="1:12" x14ac:dyDescent="0.3">
      <c r="A161" s="3">
        <v>1762</v>
      </c>
      <c r="B161" s="3">
        <v>405</v>
      </c>
      <c r="C161" s="3">
        <v>423</v>
      </c>
      <c r="D161" s="3">
        <v>22906</v>
      </c>
      <c r="E161" s="3" t="s">
        <v>321</v>
      </c>
      <c r="F161" s="3" t="s">
        <v>319</v>
      </c>
      <c r="G161" s="3">
        <v>25</v>
      </c>
      <c r="H161" s="9" t="s">
        <v>318</v>
      </c>
      <c r="K161">
        <f t="shared" si="4"/>
        <v>2590</v>
      </c>
      <c r="L161">
        <f t="shared" si="5"/>
        <v>0.11307081114118571</v>
      </c>
    </row>
    <row r="162" spans="1:12" x14ac:dyDescent="0.3">
      <c r="A162" s="3">
        <v>2120</v>
      </c>
      <c r="B162" s="3">
        <v>158</v>
      </c>
      <c r="C162" s="3">
        <v>488</v>
      </c>
      <c r="D162" s="3">
        <v>12720</v>
      </c>
      <c r="E162" s="3" t="s">
        <v>321</v>
      </c>
      <c r="F162" s="3" t="s">
        <v>324</v>
      </c>
      <c r="G162" s="3">
        <v>17</v>
      </c>
      <c r="H162" s="9" t="s">
        <v>333</v>
      </c>
      <c r="K162">
        <f t="shared" si="4"/>
        <v>2766</v>
      </c>
      <c r="L162">
        <f t="shared" si="5"/>
        <v>0.21745283018867925</v>
      </c>
    </row>
    <row r="163" spans="1:12" x14ac:dyDescent="0.3">
      <c r="A163" s="3">
        <v>1082</v>
      </c>
      <c r="B163" s="3">
        <v>209</v>
      </c>
      <c r="C163" s="3">
        <v>484</v>
      </c>
      <c r="D163" s="3">
        <v>19476</v>
      </c>
      <c r="E163" s="3" t="s">
        <v>338</v>
      </c>
      <c r="F163" s="3" t="s">
        <v>311</v>
      </c>
      <c r="G163" s="3">
        <v>20</v>
      </c>
      <c r="H163" s="9" t="s">
        <v>318</v>
      </c>
      <c r="K163">
        <f t="shared" si="4"/>
        <v>1775</v>
      </c>
      <c r="L163">
        <f t="shared" si="5"/>
        <v>9.1137810638734856E-2</v>
      </c>
    </row>
    <row r="164" spans="1:12" x14ac:dyDescent="0.3">
      <c r="A164" s="3">
        <v>4671</v>
      </c>
      <c r="B164" s="3">
        <v>876</v>
      </c>
      <c r="C164" s="3">
        <v>366</v>
      </c>
      <c r="D164" s="3">
        <v>51381</v>
      </c>
      <c r="E164" s="3" t="s">
        <v>315</v>
      </c>
      <c r="F164" s="3" t="s">
        <v>311</v>
      </c>
      <c r="G164" s="3">
        <v>245</v>
      </c>
      <c r="H164" s="9" t="s">
        <v>318</v>
      </c>
      <c r="K164">
        <f t="shared" si="4"/>
        <v>5913</v>
      </c>
      <c r="L164">
        <f t="shared" si="5"/>
        <v>0.11508145034156594</v>
      </c>
    </row>
    <row r="165" spans="1:12" x14ac:dyDescent="0.3">
      <c r="A165" s="3">
        <v>3430</v>
      </c>
      <c r="B165" s="3">
        <v>566</v>
      </c>
      <c r="C165" s="3">
        <v>164</v>
      </c>
      <c r="D165" s="3">
        <v>48020</v>
      </c>
      <c r="E165" s="3" t="s">
        <v>321</v>
      </c>
      <c r="F165" s="3" t="s">
        <v>324</v>
      </c>
      <c r="G165" s="3">
        <v>120</v>
      </c>
      <c r="H165" s="9" t="s">
        <v>333</v>
      </c>
      <c r="K165">
        <f t="shared" si="4"/>
        <v>4160</v>
      </c>
      <c r="L165">
        <f t="shared" si="5"/>
        <v>8.6630570595585168E-2</v>
      </c>
    </row>
    <row r="166" spans="1:12" x14ac:dyDescent="0.3">
      <c r="A166" s="3">
        <v>4501</v>
      </c>
      <c r="B166" s="3">
        <v>375</v>
      </c>
      <c r="C166" s="3">
        <v>323</v>
      </c>
      <c r="D166" s="3">
        <v>22505</v>
      </c>
      <c r="E166" s="3" t="s">
        <v>329</v>
      </c>
      <c r="F166" s="3" t="s">
        <v>319</v>
      </c>
      <c r="G166" s="3">
        <v>132</v>
      </c>
      <c r="H166" s="9" t="s">
        <v>318</v>
      </c>
      <c r="K166">
        <f t="shared" si="4"/>
        <v>5199</v>
      </c>
      <c r="L166">
        <f t="shared" si="5"/>
        <v>0.23101532992668297</v>
      </c>
    </row>
    <row r="167" spans="1:12" x14ac:dyDescent="0.3">
      <c r="A167" s="3">
        <v>4934</v>
      </c>
      <c r="B167" s="3">
        <v>971</v>
      </c>
      <c r="C167" s="3">
        <v>156</v>
      </c>
      <c r="D167" s="3">
        <v>39472</v>
      </c>
      <c r="E167" s="3" t="s">
        <v>315</v>
      </c>
      <c r="F167" s="3" t="s">
        <v>316</v>
      </c>
      <c r="G167" s="3">
        <v>169</v>
      </c>
      <c r="H167" s="9" t="s">
        <v>318</v>
      </c>
      <c r="I167" t="s">
        <v>523</v>
      </c>
      <c r="K167">
        <f t="shared" si="4"/>
        <v>6061</v>
      </c>
      <c r="L167">
        <f t="shared" si="5"/>
        <v>0.15355188488042157</v>
      </c>
    </row>
    <row r="168" spans="1:12" x14ac:dyDescent="0.3">
      <c r="A168" s="3">
        <v>3239</v>
      </c>
      <c r="B168" s="3">
        <v>43</v>
      </c>
      <c r="C168" s="3">
        <v>211</v>
      </c>
      <c r="D168" s="3">
        <v>22673</v>
      </c>
      <c r="E168" s="3" t="s">
        <v>315</v>
      </c>
      <c r="F168" s="3" t="s">
        <v>311</v>
      </c>
      <c r="G168" s="3">
        <v>230</v>
      </c>
      <c r="H168" s="9" t="s">
        <v>318</v>
      </c>
      <c r="K168">
        <f t="shared" si="4"/>
        <v>3493</v>
      </c>
      <c r="L168">
        <f t="shared" si="5"/>
        <v>0.15405989502933004</v>
      </c>
    </row>
    <row r="169" spans="1:12" x14ac:dyDescent="0.3">
      <c r="A169" s="3">
        <v>1076</v>
      </c>
      <c r="B169" s="3">
        <v>313</v>
      </c>
      <c r="C169" s="3">
        <v>306</v>
      </c>
      <c r="D169" s="3">
        <v>11836</v>
      </c>
      <c r="E169" s="3" t="s">
        <v>313</v>
      </c>
      <c r="F169" s="3" t="s">
        <v>311</v>
      </c>
      <c r="G169" s="3">
        <v>104</v>
      </c>
      <c r="H169" s="9" t="s">
        <v>333</v>
      </c>
      <c r="K169">
        <f t="shared" si="4"/>
        <v>1695</v>
      </c>
      <c r="L169">
        <f t="shared" si="5"/>
        <v>0.14320716458262928</v>
      </c>
    </row>
    <row r="170" spans="1:12" x14ac:dyDescent="0.3">
      <c r="A170" s="3">
        <v>4771</v>
      </c>
      <c r="B170" s="3">
        <v>818</v>
      </c>
      <c r="C170" s="3">
        <v>56</v>
      </c>
      <c r="D170" s="3">
        <v>57252</v>
      </c>
      <c r="E170" s="3" t="s">
        <v>315</v>
      </c>
      <c r="F170" s="3" t="s">
        <v>319</v>
      </c>
      <c r="G170" s="3">
        <v>150</v>
      </c>
      <c r="H170" s="9" t="s">
        <v>333</v>
      </c>
      <c r="K170">
        <f t="shared" si="4"/>
        <v>5645</v>
      </c>
      <c r="L170">
        <f t="shared" si="5"/>
        <v>9.859917557465242E-2</v>
      </c>
    </row>
    <row r="171" spans="1:12" x14ac:dyDescent="0.3">
      <c r="A171" s="3">
        <v>2418</v>
      </c>
      <c r="B171" s="3">
        <v>754</v>
      </c>
      <c r="C171" s="3">
        <v>54</v>
      </c>
      <c r="D171" s="3">
        <v>43524</v>
      </c>
      <c r="E171" s="3" t="s">
        <v>315</v>
      </c>
      <c r="F171" s="3" t="s">
        <v>324</v>
      </c>
      <c r="G171" s="3">
        <v>182</v>
      </c>
      <c r="H171" s="9" t="s">
        <v>322</v>
      </c>
      <c r="K171">
        <f t="shared" si="4"/>
        <v>3226</v>
      </c>
      <c r="L171">
        <f t="shared" si="5"/>
        <v>7.412002573292896E-2</v>
      </c>
    </row>
    <row r="172" spans="1:12" x14ac:dyDescent="0.3">
      <c r="A172" s="3">
        <v>3809</v>
      </c>
      <c r="B172" s="3">
        <v>273</v>
      </c>
      <c r="C172" s="3">
        <v>200</v>
      </c>
      <c r="D172" s="3">
        <v>34281</v>
      </c>
      <c r="E172" s="3" t="s">
        <v>338</v>
      </c>
      <c r="F172" s="3" t="s">
        <v>316</v>
      </c>
      <c r="G172" s="3">
        <v>83</v>
      </c>
      <c r="H172" s="9" t="s">
        <v>322</v>
      </c>
      <c r="K172">
        <f t="shared" si="4"/>
        <v>4282</v>
      </c>
      <c r="L172">
        <f t="shared" si="5"/>
        <v>0.12490884163239112</v>
      </c>
    </row>
    <row r="173" spans="1:12" x14ac:dyDescent="0.3">
      <c r="A173" s="3">
        <v>3577</v>
      </c>
      <c r="B173" s="3">
        <v>596</v>
      </c>
      <c r="C173" s="3">
        <v>493</v>
      </c>
      <c r="D173" s="3">
        <v>67963</v>
      </c>
      <c r="E173" s="3" t="s">
        <v>315</v>
      </c>
      <c r="F173" s="3" t="s">
        <v>311</v>
      </c>
      <c r="G173" s="3">
        <v>53</v>
      </c>
      <c r="H173" s="9" t="s">
        <v>318</v>
      </c>
      <c r="K173">
        <f t="shared" si="4"/>
        <v>4666</v>
      </c>
      <c r="L173">
        <f t="shared" si="5"/>
        <v>6.8655003457763777E-2</v>
      </c>
    </row>
    <row r="174" spans="1:12" x14ac:dyDescent="0.3">
      <c r="A174" s="3">
        <v>1018</v>
      </c>
      <c r="B174" s="3">
        <v>447</v>
      </c>
      <c r="C174" s="3">
        <v>332</v>
      </c>
      <c r="D174" s="3">
        <v>18324</v>
      </c>
      <c r="E174" s="3" t="s">
        <v>338</v>
      </c>
      <c r="F174" s="3" t="s">
        <v>316</v>
      </c>
      <c r="G174" s="3">
        <v>38</v>
      </c>
      <c r="H174" s="9" t="s">
        <v>333</v>
      </c>
      <c r="K174">
        <f t="shared" si="4"/>
        <v>1797</v>
      </c>
      <c r="L174">
        <f t="shared" si="5"/>
        <v>9.8068107400130972E-2</v>
      </c>
    </row>
    <row r="175" spans="1:12" x14ac:dyDescent="0.3">
      <c r="A175" s="3">
        <v>3073</v>
      </c>
      <c r="B175" s="3">
        <v>553</v>
      </c>
      <c r="C175" s="3">
        <v>174</v>
      </c>
      <c r="D175" s="3">
        <v>52241</v>
      </c>
      <c r="E175" s="3" t="s">
        <v>326</v>
      </c>
      <c r="F175" s="3" t="s">
        <v>324</v>
      </c>
      <c r="G175" s="3">
        <v>246</v>
      </c>
      <c r="H175" s="9" t="s">
        <v>322</v>
      </c>
      <c r="K175">
        <f t="shared" si="4"/>
        <v>3800</v>
      </c>
      <c r="L175">
        <f t="shared" si="5"/>
        <v>7.2739802071170159E-2</v>
      </c>
    </row>
    <row r="176" spans="1:12" x14ac:dyDescent="0.3">
      <c r="A176" s="3">
        <v>1330</v>
      </c>
      <c r="B176" s="3">
        <v>925</v>
      </c>
      <c r="C176" s="3">
        <v>35</v>
      </c>
      <c r="D176" s="3">
        <v>15960</v>
      </c>
      <c r="E176" s="3" t="s">
        <v>338</v>
      </c>
      <c r="F176" s="3" t="s">
        <v>311</v>
      </c>
      <c r="G176" s="3">
        <v>229</v>
      </c>
      <c r="H176" s="9" t="s">
        <v>333</v>
      </c>
      <c r="K176">
        <f t="shared" si="4"/>
        <v>2290</v>
      </c>
      <c r="L176">
        <f t="shared" si="5"/>
        <v>0.14348370927318296</v>
      </c>
    </row>
    <row r="177" spans="1:12" x14ac:dyDescent="0.3">
      <c r="A177" s="3">
        <v>3828</v>
      </c>
      <c r="B177" s="3">
        <v>148</v>
      </c>
      <c r="C177" s="3">
        <v>253</v>
      </c>
      <c r="D177" s="3">
        <v>30624</v>
      </c>
      <c r="E177" s="3" t="s">
        <v>315</v>
      </c>
      <c r="F177" s="3" t="s">
        <v>324</v>
      </c>
      <c r="G177" s="3">
        <v>235</v>
      </c>
      <c r="H177" s="9" t="s">
        <v>322</v>
      </c>
      <c r="K177">
        <f t="shared" si="4"/>
        <v>4229</v>
      </c>
      <c r="L177">
        <f t="shared" si="5"/>
        <v>0.13809430512016718</v>
      </c>
    </row>
    <row r="178" spans="1:12" x14ac:dyDescent="0.3">
      <c r="A178" s="3">
        <v>142</v>
      </c>
      <c r="B178" s="3">
        <v>784</v>
      </c>
      <c r="C178" s="3">
        <v>183</v>
      </c>
      <c r="D178" s="3">
        <v>1704</v>
      </c>
      <c r="E178" s="3" t="s">
        <v>313</v>
      </c>
      <c r="F178" s="3" t="s">
        <v>319</v>
      </c>
      <c r="G178" s="3">
        <v>154</v>
      </c>
      <c r="H178" s="9" t="s">
        <v>333</v>
      </c>
      <c r="K178">
        <f t="shared" si="4"/>
        <v>1109</v>
      </c>
      <c r="L178">
        <f t="shared" si="5"/>
        <v>0.6508215962441315</v>
      </c>
    </row>
    <row r="179" spans="1:12" x14ac:dyDescent="0.3">
      <c r="A179" s="3">
        <v>3798</v>
      </c>
      <c r="B179" s="3">
        <v>31</v>
      </c>
      <c r="C179" s="3">
        <v>279</v>
      </c>
      <c r="D179" s="3">
        <v>75960</v>
      </c>
      <c r="E179" s="3" t="s">
        <v>338</v>
      </c>
      <c r="F179" s="3" t="s">
        <v>324</v>
      </c>
      <c r="G179" s="3">
        <v>266</v>
      </c>
      <c r="H179" s="9" t="s">
        <v>318</v>
      </c>
      <c r="K179">
        <f t="shared" si="4"/>
        <v>4108</v>
      </c>
      <c r="L179">
        <f t="shared" si="5"/>
        <v>5.4081095313322801E-2</v>
      </c>
    </row>
    <row r="180" spans="1:12" x14ac:dyDescent="0.3">
      <c r="A180" s="3">
        <v>3099</v>
      </c>
      <c r="B180" s="3">
        <v>694</v>
      </c>
      <c r="C180" s="3">
        <v>171</v>
      </c>
      <c r="D180" s="3">
        <v>43386</v>
      </c>
      <c r="E180" s="3" t="s">
        <v>326</v>
      </c>
      <c r="F180" s="3" t="s">
        <v>319</v>
      </c>
      <c r="G180" s="3">
        <v>52</v>
      </c>
      <c r="H180" s="9" t="s">
        <v>318</v>
      </c>
      <c r="K180">
        <f t="shared" si="4"/>
        <v>3964</v>
      </c>
      <c r="L180">
        <f t="shared" si="5"/>
        <v>9.1365878393951966E-2</v>
      </c>
    </row>
    <row r="181" spans="1:12" x14ac:dyDescent="0.3">
      <c r="A181" s="3">
        <v>129</v>
      </c>
      <c r="B181" s="3">
        <v>643</v>
      </c>
      <c r="C181" s="3">
        <v>136</v>
      </c>
      <c r="D181" s="3">
        <v>1290</v>
      </c>
      <c r="E181" s="3" t="s">
        <v>338</v>
      </c>
      <c r="F181" s="3" t="s">
        <v>319</v>
      </c>
      <c r="G181" s="3">
        <v>238</v>
      </c>
      <c r="H181" s="9" t="s">
        <v>318</v>
      </c>
      <c r="K181">
        <f t="shared" si="4"/>
        <v>908</v>
      </c>
      <c r="L181">
        <f t="shared" si="5"/>
        <v>0.70387596899224802</v>
      </c>
    </row>
    <row r="182" spans="1:12" x14ac:dyDescent="0.3">
      <c r="A182" s="3">
        <v>3796</v>
      </c>
      <c r="B182" s="3">
        <v>667</v>
      </c>
      <c r="C182" s="3">
        <v>395</v>
      </c>
      <c r="D182" s="3">
        <v>64532</v>
      </c>
      <c r="E182" s="3" t="s">
        <v>326</v>
      </c>
      <c r="F182" s="3" t="s">
        <v>324</v>
      </c>
      <c r="G182" s="3">
        <v>292</v>
      </c>
      <c r="H182" s="9" t="s">
        <v>318</v>
      </c>
      <c r="K182">
        <f t="shared" si="4"/>
        <v>4858</v>
      </c>
      <c r="L182">
        <f t="shared" si="5"/>
        <v>7.5280481001673588E-2</v>
      </c>
    </row>
    <row r="183" spans="1:12" x14ac:dyDescent="0.3">
      <c r="A183" s="3">
        <v>3711</v>
      </c>
      <c r="B183" s="3">
        <v>352</v>
      </c>
      <c r="C183" s="3">
        <v>290</v>
      </c>
      <c r="D183" s="3">
        <v>48243</v>
      </c>
      <c r="E183" s="3" t="s">
        <v>315</v>
      </c>
      <c r="F183" s="3" t="s">
        <v>316</v>
      </c>
      <c r="G183" s="3">
        <v>11</v>
      </c>
      <c r="H183" s="9" t="s">
        <v>318</v>
      </c>
      <c r="K183">
        <f t="shared" si="4"/>
        <v>4353</v>
      </c>
      <c r="L183">
        <f t="shared" si="5"/>
        <v>9.023070704558174E-2</v>
      </c>
    </row>
    <row r="184" spans="1:12" x14ac:dyDescent="0.3">
      <c r="A184" s="3">
        <v>606</v>
      </c>
      <c r="B184" s="3">
        <v>789</v>
      </c>
      <c r="C184" s="3">
        <v>470</v>
      </c>
      <c r="D184" s="3">
        <v>7878</v>
      </c>
      <c r="E184" s="3" t="s">
        <v>329</v>
      </c>
      <c r="F184" s="3" t="s">
        <v>316</v>
      </c>
      <c r="G184" s="3">
        <v>239</v>
      </c>
      <c r="H184" s="9" t="s">
        <v>322</v>
      </c>
      <c r="K184">
        <f t="shared" si="4"/>
        <v>1865</v>
      </c>
      <c r="L184">
        <f t="shared" si="5"/>
        <v>0.23673521198273673</v>
      </c>
    </row>
    <row r="185" spans="1:12" x14ac:dyDescent="0.3">
      <c r="A185" s="3">
        <v>4689</v>
      </c>
      <c r="B185" s="3">
        <v>134</v>
      </c>
      <c r="C185" s="3">
        <v>403</v>
      </c>
      <c r="D185" s="3">
        <v>51579</v>
      </c>
      <c r="E185" s="3" t="s">
        <v>329</v>
      </c>
      <c r="F185" s="3" t="s">
        <v>324</v>
      </c>
      <c r="G185" s="3">
        <v>173</v>
      </c>
      <c r="H185" s="9" t="s">
        <v>318</v>
      </c>
      <c r="K185">
        <f t="shared" si="4"/>
        <v>5226</v>
      </c>
      <c r="L185">
        <f t="shared" si="5"/>
        <v>0.10132030477519921</v>
      </c>
    </row>
    <row r="186" spans="1:12" x14ac:dyDescent="0.3">
      <c r="A186" s="3">
        <v>360</v>
      </c>
      <c r="B186" s="3">
        <v>590</v>
      </c>
      <c r="C186" s="3">
        <v>393</v>
      </c>
      <c r="D186" s="3">
        <v>4680</v>
      </c>
      <c r="E186" s="3" t="s">
        <v>321</v>
      </c>
      <c r="F186" s="3" t="s">
        <v>319</v>
      </c>
      <c r="G186" s="3">
        <v>208</v>
      </c>
      <c r="H186" s="9" t="s">
        <v>333</v>
      </c>
      <c r="K186">
        <f t="shared" si="4"/>
        <v>1343</v>
      </c>
      <c r="L186">
        <f t="shared" si="5"/>
        <v>0.28696581196581195</v>
      </c>
    </row>
    <row r="187" spans="1:12" x14ac:dyDescent="0.3">
      <c r="A187" s="3">
        <v>3215</v>
      </c>
      <c r="B187" s="3">
        <v>960</v>
      </c>
      <c r="C187" s="3">
        <v>202</v>
      </c>
      <c r="D187" s="3">
        <v>32150</v>
      </c>
      <c r="E187" s="3" t="s">
        <v>329</v>
      </c>
      <c r="F187" s="3" t="s">
        <v>311</v>
      </c>
      <c r="G187" s="3">
        <v>251</v>
      </c>
      <c r="H187" s="9" t="s">
        <v>322</v>
      </c>
      <c r="K187">
        <f t="shared" si="4"/>
        <v>4377</v>
      </c>
      <c r="L187">
        <f t="shared" si="5"/>
        <v>0.13614307931570763</v>
      </c>
    </row>
    <row r="188" spans="1:12" x14ac:dyDescent="0.3">
      <c r="A188" s="3">
        <v>4523</v>
      </c>
      <c r="B188" s="3">
        <v>61</v>
      </c>
      <c r="C188" s="3">
        <v>157</v>
      </c>
      <c r="D188" s="3">
        <v>49753</v>
      </c>
      <c r="E188" s="3" t="s">
        <v>326</v>
      </c>
      <c r="F188" s="3" t="s">
        <v>319</v>
      </c>
      <c r="G188" s="3">
        <v>71</v>
      </c>
      <c r="H188" s="9" t="s">
        <v>322</v>
      </c>
      <c r="K188">
        <f t="shared" si="4"/>
        <v>4741</v>
      </c>
      <c r="L188">
        <f t="shared" si="5"/>
        <v>9.5290736237010829E-2</v>
      </c>
    </row>
    <row r="189" spans="1:12" x14ac:dyDescent="0.3">
      <c r="A189" s="3">
        <v>4292</v>
      </c>
      <c r="B189" s="3">
        <v>51</v>
      </c>
      <c r="C189" s="3">
        <v>392</v>
      </c>
      <c r="D189" s="3">
        <v>55796</v>
      </c>
      <c r="E189" s="3" t="s">
        <v>326</v>
      </c>
      <c r="F189" s="3" t="s">
        <v>324</v>
      </c>
      <c r="G189" s="3">
        <v>264</v>
      </c>
      <c r="H189" s="9" t="s">
        <v>322</v>
      </c>
      <c r="K189">
        <f t="shared" si="4"/>
        <v>4735</v>
      </c>
      <c r="L189">
        <f t="shared" si="5"/>
        <v>8.4862714173059003E-2</v>
      </c>
    </row>
    <row r="190" spans="1:12" x14ac:dyDescent="0.3">
      <c r="A190" s="3">
        <v>1644</v>
      </c>
      <c r="B190" s="3">
        <v>546</v>
      </c>
      <c r="C190" s="3">
        <v>150</v>
      </c>
      <c r="D190" s="3">
        <v>27948</v>
      </c>
      <c r="E190" s="3" t="s">
        <v>313</v>
      </c>
      <c r="F190" s="3" t="s">
        <v>311</v>
      </c>
      <c r="G190" s="3">
        <v>300</v>
      </c>
      <c r="H190" s="9" t="s">
        <v>322</v>
      </c>
      <c r="K190">
        <f t="shared" si="4"/>
        <v>2340</v>
      </c>
      <c r="L190">
        <f t="shared" si="5"/>
        <v>8.3726921425504502E-2</v>
      </c>
    </row>
    <row r="191" spans="1:12" x14ac:dyDescent="0.3">
      <c r="A191" s="3">
        <v>2728</v>
      </c>
      <c r="B191" s="3">
        <v>533</v>
      </c>
      <c r="C191" s="3">
        <v>215</v>
      </c>
      <c r="D191" s="3">
        <v>40920</v>
      </c>
      <c r="E191" s="3" t="s">
        <v>313</v>
      </c>
      <c r="F191" s="3" t="s">
        <v>316</v>
      </c>
      <c r="G191" s="3">
        <v>137</v>
      </c>
      <c r="H191" s="9" t="s">
        <v>333</v>
      </c>
      <c r="K191">
        <f t="shared" si="4"/>
        <v>3476</v>
      </c>
      <c r="L191">
        <f t="shared" si="5"/>
        <v>8.4946236559139784E-2</v>
      </c>
    </row>
    <row r="192" spans="1:12" x14ac:dyDescent="0.3">
      <c r="A192" s="3">
        <v>3360</v>
      </c>
      <c r="B192" s="3">
        <v>525</v>
      </c>
      <c r="C192" s="3">
        <v>500</v>
      </c>
      <c r="D192" s="3">
        <v>60480</v>
      </c>
      <c r="E192" s="3" t="s">
        <v>313</v>
      </c>
      <c r="F192" s="3" t="s">
        <v>324</v>
      </c>
      <c r="G192" s="3">
        <v>192</v>
      </c>
      <c r="H192" s="9" t="s">
        <v>318</v>
      </c>
      <c r="K192">
        <f t="shared" si="4"/>
        <v>4385</v>
      </c>
      <c r="L192">
        <f t="shared" si="5"/>
        <v>7.2503306878306875E-2</v>
      </c>
    </row>
    <row r="193" spans="1:12" x14ac:dyDescent="0.3">
      <c r="A193" s="3">
        <v>1963</v>
      </c>
      <c r="B193" s="3">
        <v>213</v>
      </c>
      <c r="C193" s="3">
        <v>19</v>
      </c>
      <c r="D193" s="3">
        <v>39260</v>
      </c>
      <c r="E193" s="3" t="s">
        <v>315</v>
      </c>
      <c r="F193" s="3" t="s">
        <v>316</v>
      </c>
      <c r="G193" s="3">
        <v>145</v>
      </c>
      <c r="H193" s="9" t="s">
        <v>333</v>
      </c>
      <c r="K193">
        <f t="shared" si="4"/>
        <v>2195</v>
      </c>
      <c r="L193">
        <f t="shared" si="5"/>
        <v>5.5909322465613857E-2</v>
      </c>
    </row>
    <row r="194" spans="1:12" x14ac:dyDescent="0.3">
      <c r="A194" s="3">
        <v>4285</v>
      </c>
      <c r="B194" s="3">
        <v>886</v>
      </c>
      <c r="C194" s="3">
        <v>376</v>
      </c>
      <c r="D194" s="3">
        <v>55705</v>
      </c>
      <c r="E194" s="3" t="s">
        <v>321</v>
      </c>
      <c r="F194" s="3" t="s">
        <v>316</v>
      </c>
      <c r="G194" s="3">
        <v>51</v>
      </c>
      <c r="H194" s="9" t="s">
        <v>333</v>
      </c>
      <c r="K194">
        <f t="shared" si="4"/>
        <v>5547</v>
      </c>
      <c r="L194">
        <f t="shared" si="5"/>
        <v>9.9578134817341346E-2</v>
      </c>
    </row>
    <row r="195" spans="1:12" x14ac:dyDescent="0.3">
      <c r="A195" s="3">
        <v>1176</v>
      </c>
      <c r="B195" s="3">
        <v>464</v>
      </c>
      <c r="C195" s="3">
        <v>394</v>
      </c>
      <c r="D195" s="3">
        <v>14112</v>
      </c>
      <c r="E195" s="3" t="s">
        <v>338</v>
      </c>
      <c r="F195" s="3" t="s">
        <v>319</v>
      </c>
      <c r="G195" s="3">
        <v>272</v>
      </c>
      <c r="H195" s="9" t="s">
        <v>322</v>
      </c>
      <c r="K195">
        <f t="shared" si="4"/>
        <v>2034</v>
      </c>
      <c r="L195">
        <f t="shared" si="5"/>
        <v>0.1441326530612245</v>
      </c>
    </row>
    <row r="196" spans="1:12" x14ac:dyDescent="0.3">
      <c r="A196" s="3">
        <v>4858</v>
      </c>
      <c r="B196" s="3">
        <v>317</v>
      </c>
      <c r="C196" s="3">
        <v>129</v>
      </c>
      <c r="D196" s="3">
        <v>53438</v>
      </c>
      <c r="E196" s="3" t="s">
        <v>329</v>
      </c>
      <c r="F196" s="3" t="s">
        <v>311</v>
      </c>
      <c r="G196" s="3">
        <v>223</v>
      </c>
      <c r="H196" s="9" t="s">
        <v>322</v>
      </c>
      <c r="K196">
        <f t="shared" ref="K196:K259" si="6">SUM(A196+B196+C196)</f>
        <v>5304</v>
      </c>
      <c r="L196">
        <f t="shared" ref="L196:L259" si="7">AVERAGE(K196/D196)</f>
        <v>9.9255211647142488E-2</v>
      </c>
    </row>
    <row r="197" spans="1:12" x14ac:dyDescent="0.3">
      <c r="A197" s="3">
        <v>4350</v>
      </c>
      <c r="B197" s="3">
        <v>771</v>
      </c>
      <c r="C197" s="3">
        <v>7</v>
      </c>
      <c r="D197" s="3">
        <v>60900</v>
      </c>
      <c r="E197" s="3" t="s">
        <v>321</v>
      </c>
      <c r="F197" s="3" t="s">
        <v>316</v>
      </c>
      <c r="G197" s="3">
        <v>195</v>
      </c>
      <c r="H197" s="9" t="s">
        <v>322</v>
      </c>
      <c r="K197">
        <f t="shared" si="6"/>
        <v>5128</v>
      </c>
      <c r="L197">
        <f t="shared" si="7"/>
        <v>8.4203612479474554E-2</v>
      </c>
    </row>
    <row r="198" spans="1:12" x14ac:dyDescent="0.3">
      <c r="A198" s="3">
        <v>914</v>
      </c>
      <c r="B198" s="3">
        <v>464</v>
      </c>
      <c r="C198" s="3">
        <v>246</v>
      </c>
      <c r="D198" s="3">
        <v>11882</v>
      </c>
      <c r="E198" s="3" t="s">
        <v>326</v>
      </c>
      <c r="F198" s="3" t="s">
        <v>319</v>
      </c>
      <c r="G198" s="3">
        <v>282</v>
      </c>
      <c r="H198" s="9" t="s">
        <v>333</v>
      </c>
      <c r="I198" t="s">
        <v>318</v>
      </c>
      <c r="J198" t="s">
        <v>523</v>
      </c>
      <c r="K198">
        <f t="shared" si="6"/>
        <v>1624</v>
      </c>
      <c r="L198">
        <f t="shared" si="7"/>
        <v>0.13667732704931829</v>
      </c>
    </row>
    <row r="199" spans="1:12" x14ac:dyDescent="0.3">
      <c r="A199" s="3">
        <v>1813</v>
      </c>
      <c r="B199" s="3">
        <v>623</v>
      </c>
      <c r="C199" s="3">
        <v>72</v>
      </c>
      <c r="D199" s="3">
        <v>19943</v>
      </c>
      <c r="E199" s="3" t="s">
        <v>315</v>
      </c>
      <c r="F199" s="3" t="s">
        <v>319</v>
      </c>
      <c r="G199" s="3">
        <v>85</v>
      </c>
      <c r="H199" s="9" t="s">
        <v>322</v>
      </c>
      <c r="K199">
        <f t="shared" si="6"/>
        <v>2508</v>
      </c>
      <c r="L199">
        <f t="shared" si="7"/>
        <v>0.12575841147269717</v>
      </c>
    </row>
    <row r="200" spans="1:12" x14ac:dyDescent="0.3">
      <c r="A200" s="3">
        <v>4782</v>
      </c>
      <c r="B200" s="3">
        <v>721</v>
      </c>
      <c r="C200" s="3">
        <v>82</v>
      </c>
      <c r="D200" s="3">
        <v>86076</v>
      </c>
      <c r="E200" s="3" t="s">
        <v>313</v>
      </c>
      <c r="F200" s="3" t="s">
        <v>311</v>
      </c>
      <c r="G200" s="3">
        <v>19</v>
      </c>
      <c r="H200" s="9" t="s">
        <v>322</v>
      </c>
      <c r="K200">
        <f t="shared" si="6"/>
        <v>5585</v>
      </c>
      <c r="L200">
        <f t="shared" si="7"/>
        <v>6.4884520656164318E-2</v>
      </c>
    </row>
    <row r="201" spans="1:12" x14ac:dyDescent="0.3">
      <c r="A201" s="3">
        <v>1048</v>
      </c>
      <c r="B201" s="3">
        <v>374</v>
      </c>
      <c r="C201" s="3">
        <v>450</v>
      </c>
      <c r="D201" s="3">
        <v>9432</v>
      </c>
      <c r="E201" s="3" t="s">
        <v>329</v>
      </c>
      <c r="F201" s="3" t="s">
        <v>311</v>
      </c>
      <c r="G201" s="3">
        <v>158</v>
      </c>
      <c r="H201" s="9" t="s">
        <v>318</v>
      </c>
      <c r="K201">
        <f t="shared" si="6"/>
        <v>1872</v>
      </c>
      <c r="L201">
        <f t="shared" si="7"/>
        <v>0.19847328244274809</v>
      </c>
    </row>
    <row r="202" spans="1:12" x14ac:dyDescent="0.3">
      <c r="A202" s="3">
        <v>2509</v>
      </c>
      <c r="B202" s="3">
        <v>324</v>
      </c>
      <c r="C202" s="3">
        <v>171</v>
      </c>
      <c r="D202" s="3">
        <v>35126</v>
      </c>
      <c r="E202" s="3" t="s">
        <v>326</v>
      </c>
      <c r="F202" s="3" t="s">
        <v>316</v>
      </c>
      <c r="G202" s="3">
        <v>277</v>
      </c>
      <c r="H202" s="9" t="s">
        <v>318</v>
      </c>
      <c r="K202">
        <f t="shared" si="6"/>
        <v>3004</v>
      </c>
      <c r="L202">
        <f t="shared" si="7"/>
        <v>8.5520696919660646E-2</v>
      </c>
    </row>
    <row r="203" spans="1:12" x14ac:dyDescent="0.3">
      <c r="A203" s="3">
        <v>3718</v>
      </c>
      <c r="B203" s="3">
        <v>385</v>
      </c>
      <c r="C203" s="3">
        <v>310</v>
      </c>
      <c r="D203" s="3">
        <v>70642</v>
      </c>
      <c r="E203" s="3" t="s">
        <v>313</v>
      </c>
      <c r="F203" s="3" t="s">
        <v>324</v>
      </c>
      <c r="G203" s="3">
        <v>233</v>
      </c>
      <c r="H203" s="9" t="s">
        <v>318</v>
      </c>
      <c r="K203">
        <f t="shared" si="6"/>
        <v>4413</v>
      </c>
      <c r="L203">
        <f t="shared" si="7"/>
        <v>6.246991874522239E-2</v>
      </c>
    </row>
    <row r="204" spans="1:12" x14ac:dyDescent="0.3">
      <c r="A204" s="3">
        <v>802</v>
      </c>
      <c r="B204" s="3">
        <v>262</v>
      </c>
      <c r="C204" s="3">
        <v>244</v>
      </c>
      <c r="D204" s="3">
        <v>14436</v>
      </c>
      <c r="E204" s="3" t="s">
        <v>313</v>
      </c>
      <c r="F204" s="3" t="s">
        <v>311</v>
      </c>
      <c r="G204" s="3">
        <v>49</v>
      </c>
      <c r="H204" s="9" t="s">
        <v>322</v>
      </c>
      <c r="K204">
        <f t="shared" si="6"/>
        <v>1308</v>
      </c>
      <c r="L204">
        <f t="shared" si="7"/>
        <v>9.0606816292601824E-2</v>
      </c>
    </row>
    <row r="205" spans="1:12" x14ac:dyDescent="0.3">
      <c r="A205" s="3">
        <v>1871</v>
      </c>
      <c r="B205" s="3">
        <v>252</v>
      </c>
      <c r="C205" s="3">
        <v>335</v>
      </c>
      <c r="D205" s="3">
        <v>29936</v>
      </c>
      <c r="E205" s="3" t="s">
        <v>329</v>
      </c>
      <c r="F205" s="3" t="s">
        <v>324</v>
      </c>
      <c r="G205" s="3">
        <v>288</v>
      </c>
      <c r="H205" s="9" t="s">
        <v>322</v>
      </c>
      <c r="K205">
        <f t="shared" si="6"/>
        <v>2458</v>
      </c>
      <c r="L205">
        <f t="shared" si="7"/>
        <v>8.2108498129342594E-2</v>
      </c>
    </row>
    <row r="206" spans="1:12" x14ac:dyDescent="0.3">
      <c r="A206" s="3">
        <v>3773</v>
      </c>
      <c r="B206" s="3">
        <v>299</v>
      </c>
      <c r="C206" s="3">
        <v>38</v>
      </c>
      <c r="D206" s="3">
        <v>71687</v>
      </c>
      <c r="E206" s="3" t="s">
        <v>326</v>
      </c>
      <c r="F206" s="3" t="s">
        <v>319</v>
      </c>
      <c r="G206" s="3">
        <v>286</v>
      </c>
      <c r="H206" s="9" t="s">
        <v>333</v>
      </c>
      <c r="K206">
        <f t="shared" si="6"/>
        <v>4110</v>
      </c>
      <c r="L206">
        <f t="shared" si="7"/>
        <v>5.7332570758993957E-2</v>
      </c>
    </row>
    <row r="207" spans="1:12" x14ac:dyDescent="0.3">
      <c r="A207" s="3">
        <v>2234</v>
      </c>
      <c r="B207" s="3">
        <v>653</v>
      </c>
      <c r="C207" s="3">
        <v>432</v>
      </c>
      <c r="D207" s="3">
        <v>11170</v>
      </c>
      <c r="E207" s="3" t="s">
        <v>326</v>
      </c>
      <c r="F207" s="3" t="s">
        <v>319</v>
      </c>
      <c r="G207" s="3">
        <v>198</v>
      </c>
      <c r="H207" s="9" t="s">
        <v>333</v>
      </c>
      <c r="K207">
        <f t="shared" si="6"/>
        <v>3319</v>
      </c>
      <c r="L207">
        <f t="shared" si="7"/>
        <v>0.29713518352730528</v>
      </c>
    </row>
    <row r="208" spans="1:12" x14ac:dyDescent="0.3">
      <c r="A208" s="3">
        <v>3820</v>
      </c>
      <c r="B208" s="3">
        <v>697</v>
      </c>
      <c r="C208" s="3">
        <v>268</v>
      </c>
      <c r="D208" s="3">
        <v>45840</v>
      </c>
      <c r="E208" s="3" t="s">
        <v>338</v>
      </c>
      <c r="F208" s="3" t="s">
        <v>311</v>
      </c>
      <c r="G208" s="3">
        <v>171</v>
      </c>
      <c r="H208" s="9" t="s">
        <v>318</v>
      </c>
      <c r="I208" t="s">
        <v>525</v>
      </c>
      <c r="K208">
        <f t="shared" si="6"/>
        <v>4785</v>
      </c>
      <c r="L208">
        <f t="shared" si="7"/>
        <v>0.1043848167539267</v>
      </c>
    </row>
    <row r="209" spans="1:12" x14ac:dyDescent="0.3">
      <c r="A209" s="3">
        <v>941</v>
      </c>
      <c r="B209" s="3">
        <v>121</v>
      </c>
      <c r="C209" s="3">
        <v>458</v>
      </c>
      <c r="D209" s="3">
        <v>14115</v>
      </c>
      <c r="E209" s="3" t="s">
        <v>315</v>
      </c>
      <c r="F209" s="3" t="s">
        <v>311</v>
      </c>
      <c r="G209" s="3">
        <v>87</v>
      </c>
      <c r="H209" s="9" t="s">
        <v>322</v>
      </c>
      <c r="K209">
        <f t="shared" si="6"/>
        <v>1520</v>
      </c>
      <c r="L209">
        <f t="shared" si="7"/>
        <v>0.10768685795253277</v>
      </c>
    </row>
    <row r="210" spans="1:12" x14ac:dyDescent="0.3">
      <c r="A210" s="3">
        <v>4274</v>
      </c>
      <c r="B210" s="3">
        <v>340</v>
      </c>
      <c r="C210" s="3">
        <v>281</v>
      </c>
      <c r="D210" s="3">
        <v>34192</v>
      </c>
      <c r="E210" s="3" t="s">
        <v>326</v>
      </c>
      <c r="F210" s="3" t="s">
        <v>311</v>
      </c>
      <c r="G210" s="3">
        <v>129</v>
      </c>
      <c r="H210" s="9" t="s">
        <v>318</v>
      </c>
      <c r="I210" t="s">
        <v>525</v>
      </c>
      <c r="K210">
        <f t="shared" si="6"/>
        <v>4895</v>
      </c>
      <c r="L210">
        <f t="shared" si="7"/>
        <v>0.14316214319138981</v>
      </c>
    </row>
    <row r="211" spans="1:12" x14ac:dyDescent="0.3">
      <c r="A211" s="3">
        <v>2949</v>
      </c>
      <c r="B211" s="3">
        <v>476</v>
      </c>
      <c r="C211" s="3">
        <v>403</v>
      </c>
      <c r="D211" s="3">
        <v>44235</v>
      </c>
      <c r="E211" s="3" t="s">
        <v>338</v>
      </c>
      <c r="F211" s="3" t="s">
        <v>316</v>
      </c>
      <c r="G211" s="3">
        <v>135</v>
      </c>
      <c r="H211" s="9" t="s">
        <v>318</v>
      </c>
      <c r="K211">
        <f t="shared" si="6"/>
        <v>3828</v>
      </c>
      <c r="L211">
        <f t="shared" si="7"/>
        <v>8.6537809426924378E-2</v>
      </c>
    </row>
    <row r="212" spans="1:12" x14ac:dyDescent="0.3">
      <c r="A212" s="3">
        <v>3160</v>
      </c>
      <c r="B212" s="3">
        <v>204</v>
      </c>
      <c r="C212" s="3">
        <v>297</v>
      </c>
      <c r="D212" s="3">
        <v>44240</v>
      </c>
      <c r="E212" s="3" t="s">
        <v>338</v>
      </c>
      <c r="F212" s="3" t="s">
        <v>311</v>
      </c>
      <c r="G212" s="3">
        <v>49</v>
      </c>
      <c r="H212" s="9" t="s">
        <v>333</v>
      </c>
      <c r="I212" t="s">
        <v>523</v>
      </c>
      <c r="K212">
        <f t="shared" si="6"/>
        <v>3661</v>
      </c>
      <c r="L212">
        <f t="shared" si="7"/>
        <v>8.2753164556962022E-2</v>
      </c>
    </row>
    <row r="213" spans="1:12" x14ac:dyDescent="0.3">
      <c r="A213" s="3">
        <v>257</v>
      </c>
      <c r="B213" s="3">
        <v>966</v>
      </c>
      <c r="C213" s="3">
        <v>398</v>
      </c>
      <c r="D213" s="3">
        <v>3341</v>
      </c>
      <c r="E213" s="3" t="s">
        <v>329</v>
      </c>
      <c r="F213" s="3" t="s">
        <v>316</v>
      </c>
      <c r="G213" s="3">
        <v>287</v>
      </c>
      <c r="H213" s="9" t="s">
        <v>333</v>
      </c>
      <c r="K213">
        <f t="shared" si="6"/>
        <v>1621</v>
      </c>
      <c r="L213">
        <f t="shared" si="7"/>
        <v>0.48518407662376534</v>
      </c>
    </row>
    <row r="214" spans="1:12" x14ac:dyDescent="0.3">
      <c r="A214" s="3">
        <v>2120</v>
      </c>
      <c r="B214" s="3">
        <v>38</v>
      </c>
      <c r="C214" s="3">
        <v>212</v>
      </c>
      <c r="D214" s="3">
        <v>12720</v>
      </c>
      <c r="E214" s="3" t="s">
        <v>326</v>
      </c>
      <c r="F214" s="3" t="s">
        <v>311</v>
      </c>
      <c r="G214" s="3">
        <v>21</v>
      </c>
      <c r="H214" s="9" t="s">
        <v>333</v>
      </c>
      <c r="K214">
        <f t="shared" si="6"/>
        <v>2370</v>
      </c>
      <c r="L214">
        <f t="shared" si="7"/>
        <v>0.18632075471698112</v>
      </c>
    </row>
    <row r="215" spans="1:12" x14ac:dyDescent="0.3">
      <c r="A215" s="3">
        <v>3874</v>
      </c>
      <c r="B215" s="3">
        <v>884</v>
      </c>
      <c r="C215" s="3">
        <v>19</v>
      </c>
      <c r="D215" s="3">
        <v>38740</v>
      </c>
      <c r="E215" s="3" t="s">
        <v>338</v>
      </c>
      <c r="F215" s="3" t="s">
        <v>316</v>
      </c>
      <c r="G215" s="3">
        <v>219</v>
      </c>
      <c r="H215" s="9" t="s">
        <v>318</v>
      </c>
      <c r="K215">
        <f t="shared" si="6"/>
        <v>4777</v>
      </c>
      <c r="L215">
        <f t="shared" si="7"/>
        <v>0.123309241094476</v>
      </c>
    </row>
    <row r="216" spans="1:12" x14ac:dyDescent="0.3">
      <c r="A216" s="3">
        <v>2696</v>
      </c>
      <c r="B216" s="3">
        <v>628</v>
      </c>
      <c r="C216" s="3">
        <v>443</v>
      </c>
      <c r="D216" s="3">
        <v>45832</v>
      </c>
      <c r="E216" s="3" t="s">
        <v>326</v>
      </c>
      <c r="F216" s="3" t="s">
        <v>324</v>
      </c>
      <c r="G216" s="3">
        <v>248</v>
      </c>
      <c r="H216" s="9" t="s">
        <v>322</v>
      </c>
      <c r="K216">
        <f t="shared" si="6"/>
        <v>3767</v>
      </c>
      <c r="L216">
        <f t="shared" si="7"/>
        <v>8.21914819340199E-2</v>
      </c>
    </row>
    <row r="217" spans="1:12" x14ac:dyDescent="0.3">
      <c r="A217" s="3">
        <v>521</v>
      </c>
      <c r="B217" s="3">
        <v>746</v>
      </c>
      <c r="C217" s="3">
        <v>315</v>
      </c>
      <c r="D217" s="3">
        <v>4168</v>
      </c>
      <c r="E217" s="3" t="s">
        <v>329</v>
      </c>
      <c r="F217" s="3" t="s">
        <v>319</v>
      </c>
      <c r="G217" s="3">
        <v>282</v>
      </c>
      <c r="H217" s="9" t="s">
        <v>333</v>
      </c>
      <c r="K217">
        <f t="shared" si="6"/>
        <v>1582</v>
      </c>
      <c r="L217">
        <f t="shared" si="7"/>
        <v>0.37955854126679461</v>
      </c>
    </row>
    <row r="218" spans="1:12" x14ac:dyDescent="0.3">
      <c r="A218" s="3">
        <v>4872</v>
      </c>
      <c r="B218" s="3">
        <v>925</v>
      </c>
      <c r="C218" s="3">
        <v>176</v>
      </c>
      <c r="D218" s="3">
        <v>82824</v>
      </c>
      <c r="E218" s="3" t="s">
        <v>329</v>
      </c>
      <c r="F218" s="3" t="s">
        <v>324</v>
      </c>
      <c r="G218" s="3">
        <v>89</v>
      </c>
      <c r="H218" s="9" t="s">
        <v>322</v>
      </c>
      <c r="K218">
        <f t="shared" si="6"/>
        <v>5973</v>
      </c>
      <c r="L218">
        <f t="shared" si="7"/>
        <v>7.2116777745580993E-2</v>
      </c>
    </row>
    <row r="219" spans="1:12" x14ac:dyDescent="0.3">
      <c r="A219" s="3">
        <v>1509</v>
      </c>
      <c r="B219" s="3">
        <v>88</v>
      </c>
      <c r="C219" s="3">
        <v>163</v>
      </c>
      <c r="D219" s="3">
        <v>30180</v>
      </c>
      <c r="E219" s="3" t="s">
        <v>321</v>
      </c>
      <c r="F219" s="3" t="s">
        <v>316</v>
      </c>
      <c r="G219" s="3">
        <v>119</v>
      </c>
      <c r="H219" s="9" t="s">
        <v>322</v>
      </c>
      <c r="K219">
        <f t="shared" si="6"/>
        <v>1760</v>
      </c>
      <c r="L219">
        <f t="shared" si="7"/>
        <v>5.8316766070245198E-2</v>
      </c>
    </row>
    <row r="220" spans="1:12" x14ac:dyDescent="0.3">
      <c r="A220" s="3">
        <v>4606</v>
      </c>
      <c r="B220" s="3">
        <v>931</v>
      </c>
      <c r="C220" s="3">
        <v>230</v>
      </c>
      <c r="D220" s="3">
        <v>92120</v>
      </c>
      <c r="E220" s="3" t="s">
        <v>329</v>
      </c>
      <c r="F220" s="3" t="s">
        <v>324</v>
      </c>
      <c r="G220" s="3">
        <v>56</v>
      </c>
      <c r="H220" s="9" t="s">
        <v>318</v>
      </c>
      <c r="K220">
        <f t="shared" si="6"/>
        <v>5767</v>
      </c>
      <c r="L220">
        <f t="shared" si="7"/>
        <v>6.2603126356925748E-2</v>
      </c>
    </row>
    <row r="221" spans="1:12" x14ac:dyDescent="0.3">
      <c r="A221" s="3">
        <v>1869</v>
      </c>
      <c r="B221" s="3">
        <v>453</v>
      </c>
      <c r="C221" s="3">
        <v>490</v>
      </c>
      <c r="D221" s="3">
        <v>14952</v>
      </c>
      <c r="E221" s="3" t="s">
        <v>326</v>
      </c>
      <c r="F221" s="3" t="s">
        <v>324</v>
      </c>
      <c r="G221" s="3">
        <v>275</v>
      </c>
      <c r="H221" s="9" t="s">
        <v>318</v>
      </c>
      <c r="K221">
        <f t="shared" si="6"/>
        <v>2812</v>
      </c>
      <c r="L221">
        <f t="shared" si="7"/>
        <v>0.18806848582129482</v>
      </c>
    </row>
    <row r="222" spans="1:12" x14ac:dyDescent="0.3">
      <c r="A222" s="3">
        <v>1188</v>
      </c>
      <c r="B222" s="3">
        <v>470</v>
      </c>
      <c r="C222" s="3">
        <v>174</v>
      </c>
      <c r="D222" s="3">
        <v>7128</v>
      </c>
      <c r="E222" s="3" t="s">
        <v>313</v>
      </c>
      <c r="F222" s="3" t="s">
        <v>311</v>
      </c>
      <c r="G222" s="3">
        <v>270</v>
      </c>
      <c r="H222" s="9" t="s">
        <v>318</v>
      </c>
      <c r="K222">
        <f t="shared" si="6"/>
        <v>1832</v>
      </c>
      <c r="L222">
        <f t="shared" si="7"/>
        <v>0.25701459034792368</v>
      </c>
    </row>
    <row r="223" spans="1:12" x14ac:dyDescent="0.3">
      <c r="A223" s="3">
        <v>84</v>
      </c>
      <c r="B223" s="3">
        <v>897</v>
      </c>
      <c r="C223" s="3">
        <v>85</v>
      </c>
      <c r="D223" s="3">
        <v>588</v>
      </c>
      <c r="E223" s="3" t="s">
        <v>321</v>
      </c>
      <c r="F223" s="3" t="s">
        <v>319</v>
      </c>
      <c r="G223" s="3">
        <v>12</v>
      </c>
      <c r="H223" s="9" t="s">
        <v>322</v>
      </c>
      <c r="K223">
        <f t="shared" si="6"/>
        <v>1066</v>
      </c>
      <c r="L223">
        <f t="shared" si="7"/>
        <v>1.8129251700680271</v>
      </c>
    </row>
    <row r="224" spans="1:12" x14ac:dyDescent="0.3">
      <c r="A224" s="3">
        <v>4453</v>
      </c>
      <c r="B224" s="3">
        <v>111</v>
      </c>
      <c r="C224" s="3">
        <v>420</v>
      </c>
      <c r="D224" s="3">
        <v>31171</v>
      </c>
      <c r="E224" s="3" t="s">
        <v>338</v>
      </c>
      <c r="F224" s="3" t="s">
        <v>324</v>
      </c>
      <c r="G224" s="3">
        <v>23</v>
      </c>
      <c r="H224" s="9" t="s">
        <v>318</v>
      </c>
      <c r="K224">
        <f t="shared" si="6"/>
        <v>4984</v>
      </c>
      <c r="L224">
        <f t="shared" si="7"/>
        <v>0.15989220750056141</v>
      </c>
    </row>
    <row r="225" spans="1:12" x14ac:dyDescent="0.3">
      <c r="A225" s="3">
        <v>1814</v>
      </c>
      <c r="B225" s="3">
        <v>653</v>
      </c>
      <c r="C225" s="3">
        <v>363</v>
      </c>
      <c r="D225" s="3">
        <v>25396</v>
      </c>
      <c r="E225" s="3" t="s">
        <v>313</v>
      </c>
      <c r="F225" s="3" t="s">
        <v>324</v>
      </c>
      <c r="G225" s="3">
        <v>39</v>
      </c>
      <c r="H225" s="9" t="s">
        <v>333</v>
      </c>
      <c r="I225" t="s">
        <v>525</v>
      </c>
      <c r="K225">
        <f t="shared" si="6"/>
        <v>2830</v>
      </c>
      <c r="L225">
        <f t="shared" si="7"/>
        <v>0.11143487163332809</v>
      </c>
    </row>
    <row r="226" spans="1:12" x14ac:dyDescent="0.3">
      <c r="A226" s="3">
        <v>3338</v>
      </c>
      <c r="B226" s="3">
        <v>277</v>
      </c>
      <c r="C226" s="3">
        <v>118</v>
      </c>
      <c r="D226" s="3">
        <v>60084</v>
      </c>
      <c r="E226" s="3" t="s">
        <v>329</v>
      </c>
      <c r="F226" s="3" t="s">
        <v>311</v>
      </c>
      <c r="G226" s="3">
        <v>252</v>
      </c>
      <c r="H226" s="9" t="s">
        <v>318</v>
      </c>
      <c r="K226">
        <f t="shared" si="6"/>
        <v>3733</v>
      </c>
      <c r="L226">
        <f t="shared" si="7"/>
        <v>6.2129685107516146E-2</v>
      </c>
    </row>
    <row r="227" spans="1:12" x14ac:dyDescent="0.3">
      <c r="A227" s="3">
        <v>602</v>
      </c>
      <c r="B227" s="3">
        <v>594</v>
      </c>
      <c r="C227" s="3">
        <v>156</v>
      </c>
      <c r="D227" s="3">
        <v>4214</v>
      </c>
      <c r="E227" s="3" t="s">
        <v>329</v>
      </c>
      <c r="F227" s="3" t="s">
        <v>324</v>
      </c>
      <c r="G227" s="3">
        <v>164</v>
      </c>
      <c r="H227" s="9" t="s">
        <v>318</v>
      </c>
      <c r="K227">
        <f t="shared" si="6"/>
        <v>1352</v>
      </c>
      <c r="L227">
        <f t="shared" si="7"/>
        <v>0.32083531086853345</v>
      </c>
    </row>
    <row r="228" spans="1:12" x14ac:dyDescent="0.3">
      <c r="A228" s="3">
        <v>4672</v>
      </c>
      <c r="B228" s="3">
        <v>325</v>
      </c>
      <c r="C228" s="3">
        <v>32</v>
      </c>
      <c r="D228" s="3">
        <v>88768</v>
      </c>
      <c r="E228" s="3" t="s">
        <v>326</v>
      </c>
      <c r="F228" s="3" t="s">
        <v>311</v>
      </c>
      <c r="G228" s="3">
        <v>118</v>
      </c>
      <c r="H228" s="9" t="s">
        <v>322</v>
      </c>
      <c r="K228">
        <f t="shared" si="6"/>
        <v>5029</v>
      </c>
      <c r="L228">
        <f t="shared" si="7"/>
        <v>5.6653298485940883E-2</v>
      </c>
    </row>
    <row r="229" spans="1:12" x14ac:dyDescent="0.3">
      <c r="A229" s="3">
        <v>1741</v>
      </c>
      <c r="B229" s="3">
        <v>164</v>
      </c>
      <c r="C229" s="3">
        <v>318</v>
      </c>
      <c r="D229" s="3">
        <v>8705</v>
      </c>
      <c r="E229" s="3" t="s">
        <v>326</v>
      </c>
      <c r="F229" s="3" t="s">
        <v>319</v>
      </c>
      <c r="G229" s="3">
        <v>121</v>
      </c>
      <c r="H229" s="9" t="s">
        <v>318</v>
      </c>
      <c r="K229">
        <f t="shared" si="6"/>
        <v>2223</v>
      </c>
      <c r="L229">
        <f t="shared" si="7"/>
        <v>0.25537047673750718</v>
      </c>
    </row>
    <row r="230" spans="1:12" x14ac:dyDescent="0.3">
      <c r="A230" s="3">
        <v>246</v>
      </c>
      <c r="B230" s="3">
        <v>149</v>
      </c>
      <c r="C230" s="3">
        <v>130</v>
      </c>
      <c r="D230" s="3">
        <v>4674</v>
      </c>
      <c r="E230" s="3" t="s">
        <v>315</v>
      </c>
      <c r="F230" s="3" t="s">
        <v>319</v>
      </c>
      <c r="G230" s="3">
        <v>217</v>
      </c>
      <c r="H230" s="9" t="s">
        <v>333</v>
      </c>
      <c r="K230">
        <f t="shared" si="6"/>
        <v>525</v>
      </c>
      <c r="L230">
        <f t="shared" si="7"/>
        <v>0.11232349165596919</v>
      </c>
    </row>
    <row r="231" spans="1:12" x14ac:dyDescent="0.3">
      <c r="A231" s="3">
        <v>4808</v>
      </c>
      <c r="B231" s="3">
        <v>772</v>
      </c>
      <c r="C231" s="3">
        <v>320</v>
      </c>
      <c r="D231" s="3">
        <v>72120</v>
      </c>
      <c r="E231" s="3" t="s">
        <v>321</v>
      </c>
      <c r="F231" s="3" t="s">
        <v>319</v>
      </c>
      <c r="G231" s="3">
        <v>195</v>
      </c>
      <c r="H231" s="9" t="s">
        <v>322</v>
      </c>
      <c r="K231">
        <f t="shared" si="6"/>
        <v>5900</v>
      </c>
      <c r="L231">
        <f t="shared" si="7"/>
        <v>8.1808097615085965E-2</v>
      </c>
    </row>
    <row r="232" spans="1:12" x14ac:dyDescent="0.3">
      <c r="A232" s="3">
        <v>4799</v>
      </c>
      <c r="B232" s="3">
        <v>694</v>
      </c>
      <c r="C232" s="3">
        <v>289</v>
      </c>
      <c r="D232" s="3">
        <v>43191</v>
      </c>
      <c r="E232" s="3" t="s">
        <v>326</v>
      </c>
      <c r="F232" s="3" t="s">
        <v>319</v>
      </c>
      <c r="G232" s="3">
        <v>118</v>
      </c>
      <c r="H232" s="9" t="s">
        <v>318</v>
      </c>
      <c r="K232">
        <f t="shared" si="6"/>
        <v>5782</v>
      </c>
      <c r="L232">
        <f t="shared" si="7"/>
        <v>0.13387048227640017</v>
      </c>
    </row>
    <row r="233" spans="1:12" x14ac:dyDescent="0.3">
      <c r="A233" s="3">
        <v>3663</v>
      </c>
      <c r="B233" s="3">
        <v>17</v>
      </c>
      <c r="C233" s="3">
        <v>295</v>
      </c>
      <c r="D233" s="3">
        <v>51282</v>
      </c>
      <c r="E233" s="3" t="s">
        <v>313</v>
      </c>
      <c r="F233" s="3" t="s">
        <v>324</v>
      </c>
      <c r="G233" s="3">
        <v>84</v>
      </c>
      <c r="H233" s="9" t="s">
        <v>322</v>
      </c>
      <c r="K233">
        <f t="shared" si="6"/>
        <v>3975</v>
      </c>
      <c r="L233">
        <f t="shared" si="7"/>
        <v>7.7512577512577507E-2</v>
      </c>
    </row>
    <row r="234" spans="1:12" x14ac:dyDescent="0.3">
      <c r="A234" s="3">
        <v>1430</v>
      </c>
      <c r="B234" s="3">
        <v>376</v>
      </c>
      <c r="C234" s="3">
        <v>33</v>
      </c>
      <c r="D234" s="3">
        <v>21450</v>
      </c>
      <c r="E234" s="3" t="s">
        <v>315</v>
      </c>
      <c r="F234" s="3" t="s">
        <v>319</v>
      </c>
      <c r="G234" s="3">
        <v>251</v>
      </c>
      <c r="H234" s="9" t="s">
        <v>333</v>
      </c>
      <c r="K234">
        <f t="shared" si="6"/>
        <v>1839</v>
      </c>
      <c r="L234">
        <f t="shared" si="7"/>
        <v>8.5734265734265735E-2</v>
      </c>
    </row>
    <row r="235" spans="1:12" x14ac:dyDescent="0.3">
      <c r="A235" s="3">
        <v>249</v>
      </c>
      <c r="B235" s="3">
        <v>592</v>
      </c>
      <c r="C235" s="3">
        <v>230</v>
      </c>
      <c r="D235" s="3">
        <v>1494</v>
      </c>
      <c r="E235" s="3" t="s">
        <v>321</v>
      </c>
      <c r="F235" s="3" t="s">
        <v>311</v>
      </c>
      <c r="G235" s="3">
        <v>201</v>
      </c>
      <c r="H235" s="9" t="s">
        <v>322</v>
      </c>
      <c r="K235">
        <f t="shared" si="6"/>
        <v>1071</v>
      </c>
      <c r="L235">
        <f t="shared" si="7"/>
        <v>0.7168674698795181</v>
      </c>
    </row>
    <row r="236" spans="1:12" x14ac:dyDescent="0.3">
      <c r="A236" s="3">
        <v>2382</v>
      </c>
      <c r="B236" s="3">
        <v>265</v>
      </c>
      <c r="C236" s="3">
        <v>134</v>
      </c>
      <c r="D236" s="3">
        <v>38112</v>
      </c>
      <c r="E236" s="3" t="s">
        <v>329</v>
      </c>
      <c r="F236" s="3" t="s">
        <v>324</v>
      </c>
      <c r="G236" s="3">
        <v>249</v>
      </c>
      <c r="H236" s="9" t="s">
        <v>333</v>
      </c>
      <c r="K236">
        <f t="shared" si="6"/>
        <v>2781</v>
      </c>
      <c r="L236">
        <f t="shared" si="7"/>
        <v>7.2969143576826198E-2</v>
      </c>
    </row>
    <row r="237" spans="1:12" x14ac:dyDescent="0.3">
      <c r="A237" s="3">
        <v>1272</v>
      </c>
      <c r="B237" s="3">
        <v>465</v>
      </c>
      <c r="C237" s="3">
        <v>99</v>
      </c>
      <c r="D237" s="3">
        <v>24168</v>
      </c>
      <c r="E237" s="3" t="s">
        <v>315</v>
      </c>
      <c r="F237" s="3" t="s">
        <v>324</v>
      </c>
      <c r="G237" s="3">
        <v>42</v>
      </c>
      <c r="H237" s="9" t="s">
        <v>318</v>
      </c>
      <c r="K237">
        <f t="shared" si="6"/>
        <v>1836</v>
      </c>
      <c r="L237">
        <f t="shared" si="7"/>
        <v>7.5968222442899705E-2</v>
      </c>
    </row>
    <row r="238" spans="1:12" x14ac:dyDescent="0.3">
      <c r="A238" s="3">
        <v>3196</v>
      </c>
      <c r="B238" s="3">
        <v>941</v>
      </c>
      <c r="C238" s="3">
        <v>376</v>
      </c>
      <c r="D238" s="3">
        <v>35156</v>
      </c>
      <c r="E238" s="3" t="s">
        <v>329</v>
      </c>
      <c r="F238" s="3" t="s">
        <v>324</v>
      </c>
      <c r="G238" s="3">
        <v>241</v>
      </c>
      <c r="H238" s="9" t="s">
        <v>318</v>
      </c>
      <c r="K238">
        <f t="shared" si="6"/>
        <v>4513</v>
      </c>
      <c r="L238">
        <f t="shared" si="7"/>
        <v>0.1283706906360223</v>
      </c>
    </row>
    <row r="239" spans="1:12" x14ac:dyDescent="0.3">
      <c r="A239" s="3">
        <v>1257</v>
      </c>
      <c r="B239" s="3">
        <v>19</v>
      </c>
      <c r="C239" s="3">
        <v>351</v>
      </c>
      <c r="D239" s="3">
        <v>12570</v>
      </c>
      <c r="E239" s="3" t="s">
        <v>315</v>
      </c>
      <c r="F239" s="3" t="s">
        <v>324</v>
      </c>
      <c r="G239" s="3">
        <v>194</v>
      </c>
      <c r="H239" s="9" t="s">
        <v>333</v>
      </c>
      <c r="I239" t="s">
        <v>523</v>
      </c>
      <c r="J239" t="s">
        <v>322</v>
      </c>
      <c r="K239">
        <f t="shared" si="6"/>
        <v>1627</v>
      </c>
      <c r="L239">
        <f t="shared" si="7"/>
        <v>0.12943516308671441</v>
      </c>
    </row>
    <row r="240" spans="1:12" x14ac:dyDescent="0.3">
      <c r="A240" s="3">
        <v>3770</v>
      </c>
      <c r="B240" s="3">
        <v>917</v>
      </c>
      <c r="C240" s="3">
        <v>129</v>
      </c>
      <c r="D240" s="3">
        <v>71630</v>
      </c>
      <c r="E240" s="3" t="s">
        <v>321</v>
      </c>
      <c r="F240" s="3" t="s">
        <v>319</v>
      </c>
      <c r="G240" s="3">
        <v>76</v>
      </c>
      <c r="H240" s="9" t="s">
        <v>333</v>
      </c>
      <c r="K240">
        <f t="shared" si="6"/>
        <v>4816</v>
      </c>
      <c r="L240">
        <f t="shared" si="7"/>
        <v>6.7234398994834563E-2</v>
      </c>
    </row>
    <row r="241" spans="1:12" x14ac:dyDescent="0.3">
      <c r="A241" s="3">
        <v>4725</v>
      </c>
      <c r="B241" s="3">
        <v>400</v>
      </c>
      <c r="C241" s="3">
        <v>362</v>
      </c>
      <c r="D241" s="3">
        <v>75600</v>
      </c>
      <c r="E241" s="3" t="s">
        <v>315</v>
      </c>
      <c r="F241" s="3" t="s">
        <v>311</v>
      </c>
      <c r="G241" s="3">
        <v>43</v>
      </c>
      <c r="H241" s="9" t="s">
        <v>333</v>
      </c>
      <c r="K241">
        <f t="shared" si="6"/>
        <v>5487</v>
      </c>
      <c r="L241">
        <f t="shared" si="7"/>
        <v>7.2579365079365077E-2</v>
      </c>
    </row>
    <row r="242" spans="1:12" x14ac:dyDescent="0.3">
      <c r="A242" s="3">
        <v>4188</v>
      </c>
      <c r="B242" s="3">
        <v>942</v>
      </c>
      <c r="C242" s="3">
        <v>118</v>
      </c>
      <c r="D242" s="3">
        <v>20940</v>
      </c>
      <c r="E242" s="3" t="s">
        <v>315</v>
      </c>
      <c r="F242" s="3" t="s">
        <v>316</v>
      </c>
      <c r="G242" s="3">
        <v>102</v>
      </c>
      <c r="H242" s="9" t="s">
        <v>333</v>
      </c>
      <c r="K242">
        <f t="shared" si="6"/>
        <v>5248</v>
      </c>
      <c r="L242">
        <f t="shared" si="7"/>
        <v>0.25062082139446035</v>
      </c>
    </row>
    <row r="243" spans="1:12" x14ac:dyDescent="0.3">
      <c r="A243" s="3">
        <v>929</v>
      </c>
      <c r="B243" s="3">
        <v>192</v>
      </c>
      <c r="C243" s="3">
        <v>322</v>
      </c>
      <c r="D243" s="3">
        <v>16722</v>
      </c>
      <c r="E243" s="3" t="s">
        <v>326</v>
      </c>
      <c r="F243" s="3" t="s">
        <v>311</v>
      </c>
      <c r="G243" s="3">
        <v>145</v>
      </c>
      <c r="H243" s="9" t="s">
        <v>322</v>
      </c>
      <c r="I243" t="s">
        <v>318</v>
      </c>
      <c r="J243" t="s">
        <v>523</v>
      </c>
      <c r="K243">
        <f t="shared" si="6"/>
        <v>1443</v>
      </c>
      <c r="L243">
        <f t="shared" si="7"/>
        <v>8.6293505561535699E-2</v>
      </c>
    </row>
    <row r="244" spans="1:12" x14ac:dyDescent="0.3">
      <c r="A244" s="3">
        <v>4321</v>
      </c>
      <c r="B244" s="3">
        <v>874</v>
      </c>
      <c r="C244" s="3">
        <v>172</v>
      </c>
      <c r="D244" s="3">
        <v>30247</v>
      </c>
      <c r="E244" s="3" t="s">
        <v>321</v>
      </c>
      <c r="F244" s="3" t="s">
        <v>324</v>
      </c>
      <c r="G244" s="3">
        <v>122</v>
      </c>
      <c r="H244" s="9" t="s">
        <v>318</v>
      </c>
      <c r="K244">
        <f t="shared" si="6"/>
        <v>5367</v>
      </c>
      <c r="L244">
        <f t="shared" si="7"/>
        <v>0.17743908486792079</v>
      </c>
    </row>
    <row r="245" spans="1:12" x14ac:dyDescent="0.3">
      <c r="A245" s="3">
        <v>4767</v>
      </c>
      <c r="B245" s="3">
        <v>190</v>
      </c>
      <c r="C245" s="3">
        <v>340</v>
      </c>
      <c r="D245" s="3">
        <v>28602</v>
      </c>
      <c r="E245" s="3" t="s">
        <v>313</v>
      </c>
      <c r="F245" s="3" t="s">
        <v>324</v>
      </c>
      <c r="G245" s="3">
        <v>210</v>
      </c>
      <c r="H245" s="9" t="s">
        <v>322</v>
      </c>
      <c r="K245">
        <f t="shared" si="6"/>
        <v>5297</v>
      </c>
      <c r="L245">
        <f t="shared" si="7"/>
        <v>0.18519683938186141</v>
      </c>
    </row>
    <row r="246" spans="1:12" x14ac:dyDescent="0.3">
      <c r="A246" s="3">
        <v>3592</v>
      </c>
      <c r="B246" s="3">
        <v>911</v>
      </c>
      <c r="C246" s="3">
        <v>375</v>
      </c>
      <c r="D246" s="3">
        <v>50288</v>
      </c>
      <c r="E246" s="3" t="s">
        <v>329</v>
      </c>
      <c r="F246" s="3" t="s">
        <v>311</v>
      </c>
      <c r="G246" s="3">
        <v>32</v>
      </c>
      <c r="H246" s="9" t="s">
        <v>333</v>
      </c>
      <c r="K246">
        <f t="shared" si="6"/>
        <v>4878</v>
      </c>
      <c r="L246">
        <f t="shared" si="7"/>
        <v>9.7001272669424113E-2</v>
      </c>
    </row>
    <row r="247" spans="1:12" x14ac:dyDescent="0.3">
      <c r="A247" s="3">
        <v>4661</v>
      </c>
      <c r="B247" s="3">
        <v>935</v>
      </c>
      <c r="C247" s="3">
        <v>433</v>
      </c>
      <c r="D247" s="3">
        <v>23305</v>
      </c>
      <c r="E247" s="3" t="s">
        <v>338</v>
      </c>
      <c r="F247" s="3" t="s">
        <v>316</v>
      </c>
      <c r="G247" s="3">
        <v>63</v>
      </c>
      <c r="H247" s="9" t="s">
        <v>333</v>
      </c>
      <c r="K247">
        <f t="shared" si="6"/>
        <v>6029</v>
      </c>
      <c r="L247">
        <f t="shared" si="7"/>
        <v>0.25869984981763572</v>
      </c>
    </row>
    <row r="248" spans="1:12" x14ac:dyDescent="0.3">
      <c r="A248" s="3">
        <v>4134</v>
      </c>
      <c r="B248" s="3">
        <v>824</v>
      </c>
      <c r="C248" s="3">
        <v>99</v>
      </c>
      <c r="D248" s="3">
        <v>41340</v>
      </c>
      <c r="E248" s="3" t="s">
        <v>313</v>
      </c>
      <c r="F248" s="3" t="s">
        <v>324</v>
      </c>
      <c r="G248" s="3">
        <v>177</v>
      </c>
      <c r="H248" s="9" t="s">
        <v>322</v>
      </c>
      <c r="K248">
        <f t="shared" si="6"/>
        <v>5057</v>
      </c>
      <c r="L248">
        <f t="shared" si="7"/>
        <v>0.12232704402515723</v>
      </c>
    </row>
    <row r="249" spans="1:12" x14ac:dyDescent="0.3">
      <c r="A249" s="3">
        <v>400</v>
      </c>
      <c r="B249" s="3">
        <v>680</v>
      </c>
      <c r="C249" s="3">
        <v>434</v>
      </c>
      <c r="D249" s="3">
        <v>6400</v>
      </c>
      <c r="E249" s="3" t="s">
        <v>329</v>
      </c>
      <c r="F249" s="3" t="s">
        <v>324</v>
      </c>
      <c r="G249" s="3">
        <v>160</v>
      </c>
      <c r="H249" s="9" t="s">
        <v>333</v>
      </c>
      <c r="K249">
        <f t="shared" si="6"/>
        <v>1514</v>
      </c>
      <c r="L249">
        <f t="shared" si="7"/>
        <v>0.23656250000000001</v>
      </c>
    </row>
    <row r="250" spans="1:12" x14ac:dyDescent="0.3">
      <c r="A250" s="3">
        <v>3960</v>
      </c>
      <c r="B250" s="3">
        <v>266</v>
      </c>
      <c r="C250" s="3">
        <v>8</v>
      </c>
      <c r="D250" s="3">
        <v>35640</v>
      </c>
      <c r="E250" s="3" t="s">
        <v>313</v>
      </c>
      <c r="F250" s="3" t="s">
        <v>324</v>
      </c>
      <c r="G250" s="3">
        <v>208</v>
      </c>
      <c r="H250" s="9" t="s">
        <v>333</v>
      </c>
      <c r="I250" t="s">
        <v>322</v>
      </c>
      <c r="J250" t="s">
        <v>524</v>
      </c>
      <c r="K250">
        <f t="shared" si="6"/>
        <v>4234</v>
      </c>
      <c r="L250">
        <f t="shared" si="7"/>
        <v>0.11879910213243547</v>
      </c>
    </row>
    <row r="251" spans="1:12" x14ac:dyDescent="0.3">
      <c r="A251" s="3">
        <v>886</v>
      </c>
      <c r="B251" s="3">
        <v>126</v>
      </c>
      <c r="C251" s="3">
        <v>153</v>
      </c>
      <c r="D251" s="3">
        <v>4430</v>
      </c>
      <c r="E251" s="3" t="s">
        <v>321</v>
      </c>
      <c r="F251" s="3" t="s">
        <v>324</v>
      </c>
      <c r="G251" s="3">
        <v>212</v>
      </c>
      <c r="H251" s="9" t="s">
        <v>322</v>
      </c>
      <c r="K251">
        <f t="shared" si="6"/>
        <v>1165</v>
      </c>
      <c r="L251">
        <f t="shared" si="7"/>
        <v>0.26297968397291194</v>
      </c>
    </row>
    <row r="252" spans="1:12" x14ac:dyDescent="0.3">
      <c r="A252" s="3">
        <v>827</v>
      </c>
      <c r="B252" s="3">
        <v>77</v>
      </c>
      <c r="C252" s="3">
        <v>402</v>
      </c>
      <c r="D252" s="3">
        <v>14886</v>
      </c>
      <c r="E252" s="3" t="s">
        <v>329</v>
      </c>
      <c r="F252" s="3" t="s">
        <v>311</v>
      </c>
      <c r="G252" s="3">
        <v>254</v>
      </c>
      <c r="H252" s="9" t="s">
        <v>322</v>
      </c>
      <c r="K252">
        <f t="shared" si="6"/>
        <v>1306</v>
      </c>
      <c r="L252">
        <f t="shared" si="7"/>
        <v>8.7733440816874911E-2</v>
      </c>
    </row>
    <row r="253" spans="1:12" x14ac:dyDescent="0.3">
      <c r="A253" s="3">
        <v>3813</v>
      </c>
      <c r="B253" s="3">
        <v>935</v>
      </c>
      <c r="C253" s="3">
        <v>274</v>
      </c>
      <c r="D253" s="3">
        <v>68634</v>
      </c>
      <c r="E253" s="3" t="s">
        <v>313</v>
      </c>
      <c r="F253" s="3" t="s">
        <v>324</v>
      </c>
      <c r="G253" s="3">
        <v>251</v>
      </c>
      <c r="H253" s="9" t="s">
        <v>333</v>
      </c>
      <c r="K253">
        <f t="shared" si="6"/>
        <v>5022</v>
      </c>
      <c r="L253">
        <f t="shared" si="7"/>
        <v>7.3170731707317069E-2</v>
      </c>
    </row>
    <row r="254" spans="1:12" x14ac:dyDescent="0.3">
      <c r="A254" s="3">
        <v>1377</v>
      </c>
      <c r="B254" s="3">
        <v>796</v>
      </c>
      <c r="C254" s="3">
        <v>387</v>
      </c>
      <c r="D254" s="3">
        <v>22032</v>
      </c>
      <c r="E254" s="3" t="s">
        <v>326</v>
      </c>
      <c r="F254" s="3" t="s">
        <v>319</v>
      </c>
      <c r="G254" s="3">
        <v>189</v>
      </c>
      <c r="H254" s="9" t="s">
        <v>333</v>
      </c>
      <c r="K254">
        <f t="shared" si="6"/>
        <v>2560</v>
      </c>
      <c r="L254">
        <f t="shared" si="7"/>
        <v>0.11619462599854757</v>
      </c>
    </row>
    <row r="255" spans="1:12" x14ac:dyDescent="0.3">
      <c r="A255" s="3">
        <v>2089</v>
      </c>
      <c r="B255" s="3">
        <v>476</v>
      </c>
      <c r="C255" s="3">
        <v>69</v>
      </c>
      <c r="D255" s="3">
        <v>16712</v>
      </c>
      <c r="E255" s="3" t="s">
        <v>326</v>
      </c>
      <c r="F255" s="3" t="s">
        <v>324</v>
      </c>
      <c r="G255" s="3">
        <v>64</v>
      </c>
      <c r="H255" s="9" t="s">
        <v>333</v>
      </c>
      <c r="K255">
        <f t="shared" si="6"/>
        <v>2634</v>
      </c>
      <c r="L255">
        <f t="shared" si="7"/>
        <v>0.15761129727142173</v>
      </c>
    </row>
    <row r="256" spans="1:12" x14ac:dyDescent="0.3">
      <c r="A256" s="3">
        <v>3791</v>
      </c>
      <c r="B256" s="3">
        <v>593</v>
      </c>
      <c r="C256" s="3">
        <v>228</v>
      </c>
      <c r="D256" s="3">
        <v>53074</v>
      </c>
      <c r="E256" s="3" t="s">
        <v>313</v>
      </c>
      <c r="F256" s="3" t="s">
        <v>311</v>
      </c>
      <c r="G256" s="3">
        <v>205</v>
      </c>
      <c r="H256" s="9" t="s">
        <v>322</v>
      </c>
      <c r="K256">
        <f t="shared" si="6"/>
        <v>4612</v>
      </c>
      <c r="L256">
        <f t="shared" si="7"/>
        <v>8.6897539284772202E-2</v>
      </c>
    </row>
    <row r="257" spans="1:12" x14ac:dyDescent="0.3">
      <c r="A257" s="3">
        <v>2692</v>
      </c>
      <c r="B257" s="3">
        <v>115</v>
      </c>
      <c r="C257" s="3">
        <v>64</v>
      </c>
      <c r="D257" s="3">
        <v>21536</v>
      </c>
      <c r="E257" s="3" t="s">
        <v>329</v>
      </c>
      <c r="F257" s="3" t="s">
        <v>311</v>
      </c>
      <c r="G257" s="3">
        <v>224</v>
      </c>
      <c r="H257" s="9" t="s">
        <v>333</v>
      </c>
      <c r="K257">
        <f t="shared" si="6"/>
        <v>2871</v>
      </c>
      <c r="L257">
        <f t="shared" si="7"/>
        <v>0.13331166419019316</v>
      </c>
    </row>
    <row r="258" spans="1:12" x14ac:dyDescent="0.3">
      <c r="A258" s="3">
        <v>3767</v>
      </c>
      <c r="B258" s="3">
        <v>514</v>
      </c>
      <c r="C258" s="3">
        <v>238</v>
      </c>
      <c r="D258" s="3">
        <v>37670</v>
      </c>
      <c r="E258" s="3" t="s">
        <v>321</v>
      </c>
      <c r="F258" s="3" t="s">
        <v>324</v>
      </c>
      <c r="G258" s="3">
        <v>226</v>
      </c>
      <c r="H258" s="9" t="s">
        <v>333</v>
      </c>
      <c r="K258">
        <f t="shared" si="6"/>
        <v>4519</v>
      </c>
      <c r="L258">
        <f t="shared" si="7"/>
        <v>0.11996283514733209</v>
      </c>
    </row>
    <row r="259" spans="1:12" x14ac:dyDescent="0.3">
      <c r="A259" s="3">
        <v>2143</v>
      </c>
      <c r="B259" s="3">
        <v>12</v>
      </c>
      <c r="C259" s="3">
        <v>204</v>
      </c>
      <c r="D259" s="3">
        <v>40717</v>
      </c>
      <c r="E259" s="3" t="s">
        <v>326</v>
      </c>
      <c r="F259" s="3" t="s">
        <v>316</v>
      </c>
      <c r="G259" s="3">
        <v>248</v>
      </c>
      <c r="H259" s="9" t="s">
        <v>322</v>
      </c>
      <c r="K259">
        <f t="shared" si="6"/>
        <v>2359</v>
      </c>
      <c r="L259">
        <f t="shared" si="7"/>
        <v>5.7936488444630008E-2</v>
      </c>
    </row>
    <row r="260" spans="1:12" x14ac:dyDescent="0.3">
      <c r="A260" s="3">
        <v>3090</v>
      </c>
      <c r="B260" s="3">
        <v>697</v>
      </c>
      <c r="C260" s="3">
        <v>164</v>
      </c>
      <c r="D260" s="3">
        <v>49440</v>
      </c>
      <c r="E260" s="3" t="s">
        <v>329</v>
      </c>
      <c r="F260" s="3" t="s">
        <v>324</v>
      </c>
      <c r="G260" s="3">
        <v>25</v>
      </c>
      <c r="H260" s="9" t="s">
        <v>322</v>
      </c>
      <c r="I260" t="s">
        <v>322</v>
      </c>
      <c r="J260" t="s">
        <v>524</v>
      </c>
      <c r="K260">
        <f t="shared" ref="K260:K303" si="8">SUM(A260+B260+C260)</f>
        <v>3951</v>
      </c>
      <c r="L260">
        <f t="shared" ref="L260:L303" si="9">AVERAGE(K260/D260)</f>
        <v>7.9915048543689318E-2</v>
      </c>
    </row>
    <row r="261" spans="1:12" x14ac:dyDescent="0.3">
      <c r="A261" s="3">
        <v>3601</v>
      </c>
      <c r="B261" s="3">
        <v>695</v>
      </c>
      <c r="C261" s="3">
        <v>75</v>
      </c>
      <c r="D261" s="3">
        <v>21606</v>
      </c>
      <c r="E261" s="3" t="s">
        <v>321</v>
      </c>
      <c r="F261" s="3" t="s">
        <v>319</v>
      </c>
      <c r="G261" s="3">
        <v>172</v>
      </c>
      <c r="H261" s="9" t="s">
        <v>322</v>
      </c>
      <c r="K261">
        <f t="shared" si="8"/>
        <v>4371</v>
      </c>
      <c r="L261">
        <f t="shared" si="9"/>
        <v>0.2023049153013052</v>
      </c>
    </row>
    <row r="262" spans="1:12" x14ac:dyDescent="0.3">
      <c r="A262" s="3">
        <v>562</v>
      </c>
      <c r="B262" s="3">
        <v>158</v>
      </c>
      <c r="C262" s="3">
        <v>149</v>
      </c>
      <c r="D262" s="3">
        <v>3372</v>
      </c>
      <c r="E262" s="3" t="s">
        <v>315</v>
      </c>
      <c r="F262" s="3" t="s">
        <v>324</v>
      </c>
      <c r="G262" s="3">
        <v>93</v>
      </c>
      <c r="H262" s="9" t="s">
        <v>318</v>
      </c>
      <c r="K262">
        <f t="shared" si="8"/>
        <v>869</v>
      </c>
      <c r="L262">
        <f t="shared" si="9"/>
        <v>0.25771055753262156</v>
      </c>
    </row>
    <row r="263" spans="1:12" x14ac:dyDescent="0.3">
      <c r="A263" s="3">
        <v>4332</v>
      </c>
      <c r="B263" s="3">
        <v>771</v>
      </c>
      <c r="C263" s="3">
        <v>219</v>
      </c>
      <c r="D263" s="3">
        <v>60648</v>
      </c>
      <c r="E263" s="3" t="s">
        <v>321</v>
      </c>
      <c r="F263" s="3" t="s">
        <v>319</v>
      </c>
      <c r="G263" s="3">
        <v>10</v>
      </c>
      <c r="H263" s="9" t="s">
        <v>318</v>
      </c>
      <c r="I263" t="s">
        <v>322</v>
      </c>
      <c r="J263" t="s">
        <v>524</v>
      </c>
      <c r="K263">
        <f t="shared" si="8"/>
        <v>5322</v>
      </c>
      <c r="L263">
        <f t="shared" si="9"/>
        <v>8.7752275425405618E-2</v>
      </c>
    </row>
    <row r="264" spans="1:12" x14ac:dyDescent="0.3">
      <c r="A264" s="3">
        <v>4853</v>
      </c>
      <c r="B264" s="3">
        <v>837</v>
      </c>
      <c r="C264" s="3">
        <v>340</v>
      </c>
      <c r="D264" s="3">
        <v>72795</v>
      </c>
      <c r="E264" s="3" t="s">
        <v>329</v>
      </c>
      <c r="F264" s="3" t="s">
        <v>319</v>
      </c>
      <c r="G264" s="3">
        <v>170</v>
      </c>
      <c r="H264" s="9" t="s">
        <v>322</v>
      </c>
      <c r="K264">
        <f t="shared" si="8"/>
        <v>6030</v>
      </c>
      <c r="L264">
        <f t="shared" si="9"/>
        <v>8.2835359571399134E-2</v>
      </c>
    </row>
    <row r="265" spans="1:12" x14ac:dyDescent="0.3">
      <c r="A265" s="3">
        <v>1206</v>
      </c>
      <c r="B265" s="3">
        <v>238</v>
      </c>
      <c r="C265" s="3">
        <v>36</v>
      </c>
      <c r="D265" s="3">
        <v>9648</v>
      </c>
      <c r="E265" s="3" t="s">
        <v>329</v>
      </c>
      <c r="F265" s="3" t="s">
        <v>316</v>
      </c>
      <c r="G265" s="3">
        <v>237</v>
      </c>
      <c r="H265" s="9" t="s">
        <v>318</v>
      </c>
      <c r="K265">
        <f t="shared" si="8"/>
        <v>1480</v>
      </c>
      <c r="L265">
        <f t="shared" si="9"/>
        <v>0.15339966832504145</v>
      </c>
    </row>
    <row r="266" spans="1:12" x14ac:dyDescent="0.3">
      <c r="A266" s="3">
        <v>2603</v>
      </c>
      <c r="B266" s="3">
        <v>690</v>
      </c>
      <c r="C266" s="3">
        <v>205</v>
      </c>
      <c r="D266" s="3">
        <v>13015</v>
      </c>
      <c r="E266" s="3" t="s">
        <v>313</v>
      </c>
      <c r="F266" s="3" t="s">
        <v>319</v>
      </c>
      <c r="G266" s="3">
        <v>20</v>
      </c>
      <c r="H266" s="9" t="s">
        <v>333</v>
      </c>
      <c r="K266">
        <f t="shared" si="8"/>
        <v>3498</v>
      </c>
      <c r="L266">
        <f t="shared" si="9"/>
        <v>0.26876680752977333</v>
      </c>
    </row>
    <row r="267" spans="1:12" x14ac:dyDescent="0.3">
      <c r="A267" s="3">
        <v>59</v>
      </c>
      <c r="B267" s="3">
        <v>163</v>
      </c>
      <c r="C267" s="3">
        <v>93</v>
      </c>
      <c r="D267" s="3">
        <v>590</v>
      </c>
      <c r="E267" s="3" t="s">
        <v>329</v>
      </c>
      <c r="F267" s="3" t="s">
        <v>311</v>
      </c>
      <c r="G267" s="3">
        <v>293</v>
      </c>
      <c r="H267" s="9" t="s">
        <v>318</v>
      </c>
      <c r="K267">
        <f t="shared" si="8"/>
        <v>315</v>
      </c>
      <c r="L267">
        <f t="shared" si="9"/>
        <v>0.53389830508474578</v>
      </c>
    </row>
    <row r="268" spans="1:12" x14ac:dyDescent="0.3">
      <c r="A268" s="3">
        <v>1877</v>
      </c>
      <c r="B268" s="3">
        <v>745</v>
      </c>
      <c r="C268" s="3">
        <v>225</v>
      </c>
      <c r="D268" s="3">
        <v>11262</v>
      </c>
      <c r="E268" s="3" t="s">
        <v>326</v>
      </c>
      <c r="F268" s="3" t="s">
        <v>311</v>
      </c>
      <c r="G268" s="3">
        <v>41</v>
      </c>
      <c r="H268" s="9" t="s">
        <v>322</v>
      </c>
      <c r="K268">
        <f t="shared" si="8"/>
        <v>2847</v>
      </c>
      <c r="L268">
        <f t="shared" si="9"/>
        <v>0.25279701651571657</v>
      </c>
    </row>
    <row r="269" spans="1:12" x14ac:dyDescent="0.3">
      <c r="A269" s="3">
        <v>4182</v>
      </c>
      <c r="B269" s="3">
        <v>640</v>
      </c>
      <c r="C269" s="3">
        <v>240</v>
      </c>
      <c r="D269" s="3">
        <v>50184</v>
      </c>
      <c r="E269" s="3" t="s">
        <v>321</v>
      </c>
      <c r="F269" s="3" t="s">
        <v>324</v>
      </c>
      <c r="G269" s="3">
        <v>10</v>
      </c>
      <c r="H269" s="9" t="s">
        <v>318</v>
      </c>
      <c r="K269">
        <f t="shared" si="8"/>
        <v>5062</v>
      </c>
      <c r="L269">
        <f t="shared" si="9"/>
        <v>0.10086880280567512</v>
      </c>
    </row>
    <row r="270" spans="1:12" x14ac:dyDescent="0.3">
      <c r="A270" s="3">
        <v>4187</v>
      </c>
      <c r="B270" s="3">
        <v>66</v>
      </c>
      <c r="C270" s="3">
        <v>31</v>
      </c>
      <c r="D270" s="3">
        <v>66992</v>
      </c>
      <c r="E270" s="3" t="s">
        <v>313</v>
      </c>
      <c r="F270" s="3" t="s">
        <v>311</v>
      </c>
      <c r="G270" s="3">
        <v>62</v>
      </c>
      <c r="H270" s="9" t="s">
        <v>333</v>
      </c>
      <c r="K270">
        <f t="shared" si="8"/>
        <v>4284</v>
      </c>
      <c r="L270">
        <f t="shared" si="9"/>
        <v>6.3947934081681396E-2</v>
      </c>
    </row>
    <row r="271" spans="1:12" x14ac:dyDescent="0.3">
      <c r="A271" s="3">
        <v>4579</v>
      </c>
      <c r="B271" s="3">
        <v>125</v>
      </c>
      <c r="C271" s="3">
        <v>300</v>
      </c>
      <c r="D271" s="3">
        <v>59527</v>
      </c>
      <c r="E271" s="3" t="s">
        <v>313</v>
      </c>
      <c r="F271" s="3" t="s">
        <v>319</v>
      </c>
      <c r="G271" s="3">
        <v>269</v>
      </c>
      <c r="H271" s="9" t="s">
        <v>322</v>
      </c>
      <c r="K271">
        <f t="shared" si="8"/>
        <v>5004</v>
      </c>
      <c r="L271">
        <f t="shared" si="9"/>
        <v>8.4062694239588759E-2</v>
      </c>
    </row>
    <row r="272" spans="1:12" x14ac:dyDescent="0.3">
      <c r="A272" s="3">
        <v>4561</v>
      </c>
      <c r="B272" s="3">
        <v>51</v>
      </c>
      <c r="C272" s="3">
        <v>441</v>
      </c>
      <c r="D272" s="3">
        <v>22805</v>
      </c>
      <c r="E272" s="3" t="s">
        <v>338</v>
      </c>
      <c r="F272" s="3" t="s">
        <v>319</v>
      </c>
      <c r="G272" s="3">
        <v>45</v>
      </c>
      <c r="H272" s="9" t="s">
        <v>318</v>
      </c>
      <c r="K272">
        <f t="shared" si="8"/>
        <v>5053</v>
      </c>
      <c r="L272">
        <f t="shared" si="9"/>
        <v>0.22157421618066214</v>
      </c>
    </row>
    <row r="273" spans="1:12" x14ac:dyDescent="0.3">
      <c r="A273" s="3">
        <v>3774</v>
      </c>
      <c r="B273" s="3">
        <v>239</v>
      </c>
      <c r="C273" s="3">
        <v>39</v>
      </c>
      <c r="D273" s="3">
        <v>60384</v>
      </c>
      <c r="E273" s="3" t="s">
        <v>313</v>
      </c>
      <c r="F273" s="3" t="s">
        <v>316</v>
      </c>
      <c r="G273" s="3">
        <v>241</v>
      </c>
      <c r="H273" s="9" t="s">
        <v>318</v>
      </c>
      <c r="K273">
        <f t="shared" si="8"/>
        <v>4052</v>
      </c>
      <c r="L273">
        <f t="shared" si="9"/>
        <v>6.7103868574456813E-2</v>
      </c>
    </row>
    <row r="274" spans="1:12" x14ac:dyDescent="0.3">
      <c r="A274" s="3">
        <v>3575</v>
      </c>
      <c r="B274" s="3">
        <v>749</v>
      </c>
      <c r="C274" s="3">
        <v>111</v>
      </c>
      <c r="D274" s="3">
        <v>21450</v>
      </c>
      <c r="E274" s="3" t="s">
        <v>338</v>
      </c>
      <c r="F274" s="3" t="s">
        <v>319</v>
      </c>
      <c r="G274" s="3">
        <v>195</v>
      </c>
      <c r="H274" s="9" t="s">
        <v>322</v>
      </c>
      <c r="K274">
        <f t="shared" si="8"/>
        <v>4435</v>
      </c>
      <c r="L274">
        <f t="shared" si="9"/>
        <v>0.20675990675990677</v>
      </c>
    </row>
    <row r="275" spans="1:12" x14ac:dyDescent="0.3">
      <c r="A275" s="3">
        <v>4941</v>
      </c>
      <c r="B275" s="3">
        <v>414</v>
      </c>
      <c r="C275" s="3">
        <v>266</v>
      </c>
      <c r="D275" s="3">
        <v>39528</v>
      </c>
      <c r="E275" s="3" t="s">
        <v>315</v>
      </c>
      <c r="F275" s="3" t="s">
        <v>319</v>
      </c>
      <c r="G275" s="3">
        <v>217</v>
      </c>
      <c r="H275" s="9" t="s">
        <v>318</v>
      </c>
      <c r="K275">
        <f t="shared" si="8"/>
        <v>5621</v>
      </c>
      <c r="L275">
        <f t="shared" si="9"/>
        <v>0.14220299534507186</v>
      </c>
    </row>
    <row r="276" spans="1:12" x14ac:dyDescent="0.3">
      <c r="A276" s="3">
        <v>3641</v>
      </c>
      <c r="B276" s="3">
        <v>226</v>
      </c>
      <c r="C276" s="3">
        <v>46</v>
      </c>
      <c r="D276" s="3">
        <v>40051</v>
      </c>
      <c r="E276" s="3" t="s">
        <v>321</v>
      </c>
      <c r="F276" s="3" t="s">
        <v>316</v>
      </c>
      <c r="G276" s="3">
        <v>296</v>
      </c>
      <c r="H276" s="9" t="s">
        <v>322</v>
      </c>
      <c r="K276">
        <f t="shared" si="8"/>
        <v>3913</v>
      </c>
      <c r="L276">
        <f t="shared" si="9"/>
        <v>9.7700431949264685E-2</v>
      </c>
    </row>
    <row r="277" spans="1:12" x14ac:dyDescent="0.3">
      <c r="A277" s="3">
        <v>3535</v>
      </c>
      <c r="B277" s="3">
        <v>494</v>
      </c>
      <c r="C277" s="3">
        <v>152</v>
      </c>
      <c r="D277" s="3">
        <v>53025</v>
      </c>
      <c r="E277" s="3" t="s">
        <v>326</v>
      </c>
      <c r="F277" s="3" t="s">
        <v>311</v>
      </c>
      <c r="G277" s="3">
        <v>44</v>
      </c>
      <c r="H277" s="9" t="s">
        <v>318</v>
      </c>
      <c r="K277">
        <f t="shared" si="8"/>
        <v>4181</v>
      </c>
      <c r="L277">
        <f t="shared" si="9"/>
        <v>7.8849599245638849E-2</v>
      </c>
    </row>
    <row r="278" spans="1:12" x14ac:dyDescent="0.3">
      <c r="A278" s="3">
        <v>1741</v>
      </c>
      <c r="B278" s="3">
        <v>831</v>
      </c>
      <c r="C278" s="3">
        <v>345</v>
      </c>
      <c r="D278" s="3">
        <v>17410</v>
      </c>
      <c r="E278" s="3" t="s">
        <v>313</v>
      </c>
      <c r="F278" s="3" t="s">
        <v>324</v>
      </c>
      <c r="G278" s="3">
        <v>58</v>
      </c>
      <c r="H278" s="9" t="s">
        <v>322</v>
      </c>
      <c r="K278">
        <f t="shared" si="8"/>
        <v>2917</v>
      </c>
      <c r="L278">
        <f t="shared" si="9"/>
        <v>0.16754738655944859</v>
      </c>
    </row>
    <row r="279" spans="1:12" x14ac:dyDescent="0.3">
      <c r="A279" s="3">
        <v>1556</v>
      </c>
      <c r="B279" s="3">
        <v>195</v>
      </c>
      <c r="C279" s="3">
        <v>131</v>
      </c>
      <c r="D279" s="3">
        <v>9336</v>
      </c>
      <c r="E279" s="3" t="s">
        <v>326</v>
      </c>
      <c r="F279" s="3" t="s">
        <v>311</v>
      </c>
      <c r="G279" s="3">
        <v>137</v>
      </c>
      <c r="H279" s="9" t="s">
        <v>318</v>
      </c>
      <c r="K279">
        <f t="shared" si="8"/>
        <v>1882</v>
      </c>
      <c r="L279">
        <f t="shared" si="9"/>
        <v>0.2015852613538989</v>
      </c>
    </row>
    <row r="280" spans="1:12" x14ac:dyDescent="0.3">
      <c r="A280" s="3">
        <v>4236</v>
      </c>
      <c r="B280" s="3">
        <v>711</v>
      </c>
      <c r="C280" s="3">
        <v>298</v>
      </c>
      <c r="D280" s="3">
        <v>21180</v>
      </c>
      <c r="E280" s="3" t="s">
        <v>329</v>
      </c>
      <c r="F280" s="3" t="s">
        <v>324</v>
      </c>
      <c r="G280" s="3">
        <v>238</v>
      </c>
      <c r="H280" s="9" t="s">
        <v>333</v>
      </c>
      <c r="K280">
        <f t="shared" si="8"/>
        <v>5245</v>
      </c>
      <c r="L280">
        <f t="shared" si="9"/>
        <v>0.24763928234183191</v>
      </c>
    </row>
    <row r="281" spans="1:12" x14ac:dyDescent="0.3">
      <c r="A281" s="3">
        <v>4516</v>
      </c>
      <c r="B281" s="3">
        <v>836</v>
      </c>
      <c r="C281" s="3">
        <v>169</v>
      </c>
      <c r="D281" s="3">
        <v>49676</v>
      </c>
      <c r="E281" s="3" t="s">
        <v>315</v>
      </c>
      <c r="F281" s="3" t="s">
        <v>311</v>
      </c>
      <c r="G281" s="3">
        <v>282</v>
      </c>
      <c r="H281" s="9" t="s">
        <v>322</v>
      </c>
      <c r="K281">
        <f t="shared" si="8"/>
        <v>5521</v>
      </c>
      <c r="L281">
        <f t="shared" si="9"/>
        <v>0.11114018842096787</v>
      </c>
    </row>
    <row r="282" spans="1:12" x14ac:dyDescent="0.3">
      <c r="A282" s="3">
        <v>4905</v>
      </c>
      <c r="B282" s="3">
        <v>845</v>
      </c>
      <c r="C282" s="3">
        <v>129</v>
      </c>
      <c r="D282" s="3">
        <v>98100</v>
      </c>
      <c r="E282" s="3" t="s">
        <v>329</v>
      </c>
      <c r="F282" s="3" t="s">
        <v>316</v>
      </c>
      <c r="G282" s="3">
        <v>279</v>
      </c>
      <c r="H282" s="9" t="s">
        <v>318</v>
      </c>
      <c r="K282">
        <f t="shared" si="8"/>
        <v>5879</v>
      </c>
      <c r="L282">
        <f t="shared" si="9"/>
        <v>5.9928644240570844E-2</v>
      </c>
    </row>
    <row r="283" spans="1:12" x14ac:dyDescent="0.3">
      <c r="A283" s="3">
        <v>4275</v>
      </c>
      <c r="B283" s="3">
        <v>680</v>
      </c>
      <c r="C283" s="3">
        <v>385</v>
      </c>
      <c r="D283" s="3">
        <v>64125</v>
      </c>
      <c r="E283" s="3" t="s">
        <v>338</v>
      </c>
      <c r="F283" s="3" t="s">
        <v>316</v>
      </c>
      <c r="G283" s="3">
        <v>104</v>
      </c>
      <c r="H283" s="9" t="s">
        <v>322</v>
      </c>
      <c r="I283" t="s">
        <v>318</v>
      </c>
      <c r="J283" t="s">
        <v>523</v>
      </c>
      <c r="K283">
        <f t="shared" si="8"/>
        <v>5340</v>
      </c>
      <c r="L283">
        <f t="shared" si="9"/>
        <v>8.3274853801169585E-2</v>
      </c>
    </row>
    <row r="284" spans="1:12" x14ac:dyDescent="0.3">
      <c r="A284" s="3">
        <v>3166</v>
      </c>
      <c r="B284" s="3">
        <v>90</v>
      </c>
      <c r="C284" s="3">
        <v>341</v>
      </c>
      <c r="D284" s="3">
        <v>56988</v>
      </c>
      <c r="E284" s="3" t="s">
        <v>329</v>
      </c>
      <c r="F284" s="3" t="s">
        <v>316</v>
      </c>
      <c r="G284" s="3">
        <v>135</v>
      </c>
      <c r="H284" s="9" t="s">
        <v>322</v>
      </c>
      <c r="K284">
        <f t="shared" si="8"/>
        <v>3597</v>
      </c>
      <c r="L284">
        <f t="shared" si="9"/>
        <v>6.3118551273952411E-2</v>
      </c>
    </row>
    <row r="285" spans="1:12" x14ac:dyDescent="0.3">
      <c r="A285" s="3">
        <v>1488</v>
      </c>
      <c r="B285" s="3">
        <v>417</v>
      </c>
      <c r="C285" s="3">
        <v>168</v>
      </c>
      <c r="D285" s="3">
        <v>19344</v>
      </c>
      <c r="E285" s="3" t="s">
        <v>338</v>
      </c>
      <c r="F285" s="3" t="s">
        <v>319</v>
      </c>
      <c r="G285" s="3">
        <v>30</v>
      </c>
      <c r="H285" s="9" t="s">
        <v>333</v>
      </c>
      <c r="K285">
        <f t="shared" si="8"/>
        <v>2073</v>
      </c>
      <c r="L285">
        <f t="shared" si="9"/>
        <v>0.1071650124069479</v>
      </c>
    </row>
    <row r="286" spans="1:12" x14ac:dyDescent="0.3">
      <c r="A286" s="3">
        <v>3367</v>
      </c>
      <c r="B286" s="3">
        <v>302</v>
      </c>
      <c r="C286" s="3">
        <v>57</v>
      </c>
      <c r="D286" s="3">
        <v>63973</v>
      </c>
      <c r="E286" s="3" t="s">
        <v>313</v>
      </c>
      <c r="F286" s="3" t="s">
        <v>311</v>
      </c>
      <c r="G286" s="3">
        <v>157</v>
      </c>
      <c r="H286" s="9" t="s">
        <v>333</v>
      </c>
      <c r="K286">
        <f t="shared" si="8"/>
        <v>3726</v>
      </c>
      <c r="L286">
        <f t="shared" si="9"/>
        <v>5.8243321401216137E-2</v>
      </c>
    </row>
    <row r="287" spans="1:12" x14ac:dyDescent="0.3">
      <c r="A287" s="3">
        <v>571</v>
      </c>
      <c r="B287" s="3">
        <v>190</v>
      </c>
      <c r="C287" s="3">
        <v>352</v>
      </c>
      <c r="D287" s="3">
        <v>9707</v>
      </c>
      <c r="E287" s="3" t="s">
        <v>315</v>
      </c>
      <c r="F287" s="3" t="s">
        <v>311</v>
      </c>
      <c r="G287" s="3">
        <v>231</v>
      </c>
      <c r="H287" s="9" t="s">
        <v>318</v>
      </c>
      <c r="K287">
        <f t="shared" si="8"/>
        <v>1113</v>
      </c>
      <c r="L287">
        <f t="shared" si="9"/>
        <v>0.11465952405480581</v>
      </c>
    </row>
    <row r="288" spans="1:12" x14ac:dyDescent="0.3">
      <c r="A288" s="3">
        <v>4021</v>
      </c>
      <c r="B288" s="3">
        <v>794</v>
      </c>
      <c r="C288" s="3">
        <v>77</v>
      </c>
      <c r="D288" s="3">
        <v>36189</v>
      </c>
      <c r="E288" s="3" t="s">
        <v>315</v>
      </c>
      <c r="F288" s="3" t="s">
        <v>316</v>
      </c>
      <c r="G288" s="3">
        <v>174</v>
      </c>
      <c r="H288" s="9" t="s">
        <v>322</v>
      </c>
      <c r="K288">
        <f t="shared" si="8"/>
        <v>4892</v>
      </c>
      <c r="L288">
        <f t="shared" si="9"/>
        <v>0.13517919809886983</v>
      </c>
    </row>
    <row r="289" spans="1:12" x14ac:dyDescent="0.3">
      <c r="A289" s="3">
        <v>3389</v>
      </c>
      <c r="B289" s="3">
        <v>344</v>
      </c>
      <c r="C289" s="3">
        <v>229</v>
      </c>
      <c r="D289" s="3">
        <v>20334</v>
      </c>
      <c r="E289" s="3" t="s">
        <v>338</v>
      </c>
      <c r="F289" s="3" t="s">
        <v>316</v>
      </c>
      <c r="G289" s="3">
        <v>228</v>
      </c>
      <c r="H289" s="9" t="s">
        <v>333</v>
      </c>
      <c r="K289">
        <f t="shared" si="8"/>
        <v>3962</v>
      </c>
      <c r="L289">
        <f t="shared" si="9"/>
        <v>0.19484607062063539</v>
      </c>
    </row>
    <row r="290" spans="1:12" x14ac:dyDescent="0.3">
      <c r="A290" s="3">
        <v>1164</v>
      </c>
      <c r="B290" s="3">
        <v>616</v>
      </c>
      <c r="C290" s="3">
        <v>324</v>
      </c>
      <c r="D290" s="3">
        <v>6984</v>
      </c>
      <c r="E290" s="3" t="s">
        <v>313</v>
      </c>
      <c r="F290" s="3" t="s">
        <v>319</v>
      </c>
      <c r="G290" s="3">
        <v>82</v>
      </c>
      <c r="H290" s="9" t="s">
        <v>322</v>
      </c>
      <c r="K290">
        <f t="shared" si="8"/>
        <v>2104</v>
      </c>
      <c r="L290">
        <f t="shared" si="9"/>
        <v>0.30126002290950743</v>
      </c>
    </row>
    <row r="291" spans="1:12" x14ac:dyDescent="0.3">
      <c r="A291" s="3">
        <v>4780</v>
      </c>
      <c r="B291" s="3">
        <v>691</v>
      </c>
      <c r="C291" s="3">
        <v>380</v>
      </c>
      <c r="D291" s="3">
        <v>86040</v>
      </c>
      <c r="E291" s="3" t="s">
        <v>326</v>
      </c>
      <c r="F291" s="3" t="s">
        <v>316</v>
      </c>
      <c r="G291" s="3">
        <v>262</v>
      </c>
      <c r="H291" s="9" t="s">
        <v>333</v>
      </c>
      <c r="K291">
        <f t="shared" si="8"/>
        <v>5851</v>
      </c>
      <c r="L291">
        <f t="shared" si="9"/>
        <v>6.800325430032543E-2</v>
      </c>
    </row>
    <row r="292" spans="1:12" x14ac:dyDescent="0.3">
      <c r="A292" s="3">
        <v>2751</v>
      </c>
      <c r="B292" s="3">
        <v>33</v>
      </c>
      <c r="C292" s="3">
        <v>430</v>
      </c>
      <c r="D292" s="3">
        <v>44016</v>
      </c>
      <c r="E292" s="3" t="s">
        <v>326</v>
      </c>
      <c r="F292" s="3" t="s">
        <v>324</v>
      </c>
      <c r="G292" s="3">
        <v>129</v>
      </c>
      <c r="H292" s="9" t="s">
        <v>333</v>
      </c>
      <c r="K292">
        <f t="shared" si="8"/>
        <v>3214</v>
      </c>
      <c r="L292">
        <f t="shared" si="9"/>
        <v>7.3018902217375503E-2</v>
      </c>
    </row>
    <row r="293" spans="1:12" x14ac:dyDescent="0.3">
      <c r="A293" s="3">
        <v>2107</v>
      </c>
      <c r="B293" s="3">
        <v>550</v>
      </c>
      <c r="C293" s="3">
        <v>349</v>
      </c>
      <c r="D293" s="3">
        <v>35819</v>
      </c>
      <c r="E293" s="3" t="s">
        <v>326</v>
      </c>
      <c r="F293" s="3" t="s">
        <v>319</v>
      </c>
      <c r="G293" s="3">
        <v>191</v>
      </c>
      <c r="H293" s="9" t="s">
        <v>322</v>
      </c>
      <c r="K293">
        <f t="shared" si="8"/>
        <v>3006</v>
      </c>
      <c r="L293">
        <f t="shared" si="9"/>
        <v>8.3921940869371006E-2</v>
      </c>
    </row>
    <row r="294" spans="1:12" x14ac:dyDescent="0.3">
      <c r="A294" s="3">
        <v>4663</v>
      </c>
      <c r="B294" s="3">
        <v>145</v>
      </c>
      <c r="C294" s="3">
        <v>225</v>
      </c>
      <c r="D294" s="3">
        <v>69945</v>
      </c>
      <c r="E294" s="3" t="s">
        <v>338</v>
      </c>
      <c r="F294" s="3" t="s">
        <v>324</v>
      </c>
      <c r="G294" s="3">
        <v>35</v>
      </c>
      <c r="H294" s="9" t="s">
        <v>322</v>
      </c>
      <c r="K294">
        <f t="shared" si="8"/>
        <v>5033</v>
      </c>
      <c r="L294">
        <f t="shared" si="9"/>
        <v>7.1956537279290869E-2</v>
      </c>
    </row>
    <row r="295" spans="1:12" x14ac:dyDescent="0.3">
      <c r="A295" s="3">
        <v>880</v>
      </c>
      <c r="B295" s="3">
        <v>297</v>
      </c>
      <c r="C295" s="3">
        <v>345</v>
      </c>
      <c r="D295" s="3">
        <v>12320</v>
      </c>
      <c r="E295" s="3" t="s">
        <v>315</v>
      </c>
      <c r="F295" s="3" t="s">
        <v>324</v>
      </c>
      <c r="G295" s="3">
        <v>238</v>
      </c>
      <c r="H295" s="9" t="s">
        <v>318</v>
      </c>
      <c r="I295" t="s">
        <v>523</v>
      </c>
      <c r="K295">
        <f t="shared" si="8"/>
        <v>1522</v>
      </c>
      <c r="L295">
        <f t="shared" si="9"/>
        <v>0.12353896103896105</v>
      </c>
    </row>
    <row r="296" spans="1:12" x14ac:dyDescent="0.3">
      <c r="A296" s="3">
        <v>2634</v>
      </c>
      <c r="B296" s="3">
        <v>726</v>
      </c>
      <c r="C296" s="3">
        <v>241</v>
      </c>
      <c r="D296" s="3">
        <v>28974</v>
      </c>
      <c r="E296" s="3" t="s">
        <v>315</v>
      </c>
      <c r="F296" s="3" t="s">
        <v>324</v>
      </c>
      <c r="G296" s="3">
        <v>277</v>
      </c>
      <c r="H296" s="9" t="s">
        <v>322</v>
      </c>
      <c r="K296">
        <f t="shared" si="8"/>
        <v>3601</v>
      </c>
      <c r="L296">
        <f t="shared" si="9"/>
        <v>0.12428384068475185</v>
      </c>
    </row>
    <row r="297" spans="1:12" x14ac:dyDescent="0.3">
      <c r="A297" s="3">
        <v>4731</v>
      </c>
      <c r="B297" s="3">
        <v>173</v>
      </c>
      <c r="C297" s="3">
        <v>276</v>
      </c>
      <c r="D297" s="3">
        <v>28386</v>
      </c>
      <c r="E297" s="3" t="s">
        <v>326</v>
      </c>
      <c r="F297" s="3" t="s">
        <v>324</v>
      </c>
      <c r="G297" s="3">
        <v>89</v>
      </c>
      <c r="H297" s="9" t="s">
        <v>322</v>
      </c>
      <c r="K297">
        <f t="shared" si="8"/>
        <v>5180</v>
      </c>
      <c r="L297">
        <f t="shared" si="9"/>
        <v>0.18248432325794406</v>
      </c>
    </row>
    <row r="298" spans="1:12" x14ac:dyDescent="0.3">
      <c r="A298" s="3">
        <v>1952</v>
      </c>
      <c r="B298" s="3">
        <v>344</v>
      </c>
      <c r="C298" s="3">
        <v>287</v>
      </c>
      <c r="D298" s="3">
        <v>15616</v>
      </c>
      <c r="E298" s="3" t="s">
        <v>329</v>
      </c>
      <c r="F298" s="3" t="s">
        <v>311</v>
      </c>
      <c r="G298" s="3">
        <v>235</v>
      </c>
      <c r="H298" s="9" t="s">
        <v>333</v>
      </c>
      <c r="I298" t="s">
        <v>318</v>
      </c>
      <c r="J298" t="s">
        <v>523</v>
      </c>
      <c r="K298">
        <f t="shared" si="8"/>
        <v>2583</v>
      </c>
      <c r="L298">
        <f t="shared" si="9"/>
        <v>0.16540727459016394</v>
      </c>
    </row>
    <row r="299" spans="1:12" x14ac:dyDescent="0.3">
      <c r="A299" s="3">
        <v>3440</v>
      </c>
      <c r="B299" s="3">
        <v>13</v>
      </c>
      <c r="C299" s="3">
        <v>20</v>
      </c>
      <c r="D299" s="3">
        <v>58480</v>
      </c>
      <c r="E299" s="3" t="s">
        <v>338</v>
      </c>
      <c r="F299" s="3" t="s">
        <v>311</v>
      </c>
      <c r="G299" s="3">
        <v>210</v>
      </c>
      <c r="H299" s="9" t="s">
        <v>318</v>
      </c>
      <c r="I299" t="s">
        <v>525</v>
      </c>
      <c r="K299">
        <f t="shared" si="8"/>
        <v>3473</v>
      </c>
      <c r="L299">
        <f t="shared" si="9"/>
        <v>5.9387824897400819E-2</v>
      </c>
    </row>
    <row r="300" spans="1:12" x14ac:dyDescent="0.3">
      <c r="A300" s="3">
        <v>2166</v>
      </c>
      <c r="B300" s="3">
        <v>354</v>
      </c>
      <c r="C300" s="3">
        <v>117</v>
      </c>
      <c r="D300" s="3">
        <v>10830</v>
      </c>
      <c r="E300" s="3" t="s">
        <v>315</v>
      </c>
      <c r="F300" s="3" t="s">
        <v>311</v>
      </c>
      <c r="G300" s="3">
        <v>24</v>
      </c>
      <c r="H300" s="9" t="s">
        <v>322</v>
      </c>
      <c r="K300">
        <f t="shared" si="8"/>
        <v>2637</v>
      </c>
      <c r="L300">
        <f t="shared" si="9"/>
        <v>0.24349030470914126</v>
      </c>
    </row>
    <row r="301" spans="1:12" x14ac:dyDescent="0.3">
      <c r="A301" s="3">
        <v>4303</v>
      </c>
      <c r="B301" s="3">
        <v>451</v>
      </c>
      <c r="C301" s="3">
        <v>286</v>
      </c>
      <c r="D301" s="3">
        <v>86060</v>
      </c>
      <c r="E301" s="3" t="s">
        <v>329</v>
      </c>
      <c r="F301" s="3" t="s">
        <v>324</v>
      </c>
      <c r="G301" s="3">
        <v>14</v>
      </c>
      <c r="H301" s="9" t="s">
        <v>318</v>
      </c>
      <c r="K301">
        <f t="shared" si="8"/>
        <v>5040</v>
      </c>
      <c r="L301">
        <f t="shared" si="9"/>
        <v>5.8563792702765516E-2</v>
      </c>
    </row>
    <row r="302" spans="1:12" x14ac:dyDescent="0.3">
      <c r="A302" s="3">
        <v>2581</v>
      </c>
      <c r="B302" s="3">
        <v>517</v>
      </c>
      <c r="C302" s="3">
        <v>117</v>
      </c>
      <c r="D302" s="3">
        <v>23229</v>
      </c>
      <c r="E302" s="3" t="s">
        <v>329</v>
      </c>
      <c r="F302" s="3" t="s">
        <v>324</v>
      </c>
      <c r="G302" s="3">
        <v>70</v>
      </c>
      <c r="H302" s="9" t="s">
        <v>333</v>
      </c>
      <c r="K302">
        <f t="shared" si="8"/>
        <v>3215</v>
      </c>
      <c r="L302">
        <f t="shared" si="9"/>
        <v>0.13840458048129492</v>
      </c>
    </row>
    <row r="303" spans="1:12" x14ac:dyDescent="0.3">
      <c r="A303" s="3">
        <v>4494</v>
      </c>
      <c r="B303" s="3">
        <v>717</v>
      </c>
      <c r="C303" s="3">
        <v>45</v>
      </c>
      <c r="D303" s="3">
        <v>62916</v>
      </c>
      <c r="E303" s="3" t="s">
        <v>326</v>
      </c>
      <c r="F303" s="3" t="s">
        <v>311</v>
      </c>
      <c r="G303" s="3">
        <v>191</v>
      </c>
      <c r="H303" s="9" t="s">
        <v>318</v>
      </c>
      <c r="I303" t="s">
        <v>322</v>
      </c>
      <c r="J303" t="s">
        <v>524</v>
      </c>
      <c r="K303">
        <f t="shared" si="8"/>
        <v>5256</v>
      </c>
      <c r="L303">
        <f t="shared" si="9"/>
        <v>8.3539958039290485E-2</v>
      </c>
    </row>
  </sheetData>
  <conditionalFormatting sqref="L4:L303">
    <cfRule type="top10" dxfId="1" priority="3" rank="10"/>
  </conditionalFormatting>
  <conditionalFormatting sqref="M4:M13">
    <cfRule type="top10" dxfId="0" priority="1" rank="10"/>
  </conditionalFormatting>
  <dataValidations count="4">
    <dataValidation allowBlank="1" showInputMessage="1" showErrorMessage="1" prompt="Likes+Shares+Comments" sqref="K4:K303" xr:uid="{14948279-5DCD-470F-A8DB-CB776D67F402}"/>
    <dataValidation allowBlank="1" showInputMessage="1" showErrorMessage="1" prompt="(Likes+Shares+Comments)/Impressions" sqref="L4:L303" xr:uid="{33EAC7E5-6F4E-46B4-AD5D-F4F193B2EE96}"/>
    <dataValidation allowBlank="1" showInputMessage="1" showErrorMessage="1" prompt="Top 10 Engagement Rate" sqref="M3:M13" xr:uid="{6B824947-D22F-4783-A4FD-8AC53B344A8E}"/>
    <dataValidation allowBlank="1" showInputMessage="1" showErrorMessage="1" prompt="Split hashtags into individual tags" sqref="H4:J303" xr:uid="{CDFB99D9-7273-48B0-9C6A-43B0726B4947}"/>
  </dataValidations>
  <pageMargins left="0.7" right="0.7" top="0.75" bottom="0.75" header="0.3" footer="0.3"/>
  <pageSetup orientation="portrait"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8A69B-9388-4856-A2DB-54DA3BA1BEE7}">
  <dimension ref="A1:P303"/>
  <sheetViews>
    <sheetView workbookViewId="0">
      <selection activeCell="M19" sqref="M19"/>
    </sheetView>
  </sheetViews>
  <sheetFormatPr defaultRowHeight="14.4" x14ac:dyDescent="0.3"/>
  <cols>
    <col min="1" max="1" width="15.109375" customWidth="1"/>
    <col min="2" max="2" width="7.5546875" customWidth="1"/>
    <col min="3" max="3" width="8.44140625" customWidth="1"/>
    <col min="4" max="4" width="12" customWidth="1"/>
    <col min="5" max="5" width="12.88671875" customWidth="1"/>
    <col min="6" max="6" width="9.77734375" customWidth="1"/>
    <col min="7" max="7" width="8.5546875" customWidth="1"/>
    <col min="8" max="8" width="15.5546875" customWidth="1"/>
    <col min="9" max="9" width="11.33203125" customWidth="1"/>
    <col min="10" max="10" width="18.21875" customWidth="1"/>
    <col min="11" max="11" width="12.21875" customWidth="1"/>
    <col min="12" max="13" width="12.5546875" bestFit="1" customWidth="1"/>
    <col min="14" max="14" width="22.21875" customWidth="1"/>
    <col min="15" max="15" width="4" bestFit="1" customWidth="1"/>
    <col min="16" max="16" width="32.5546875" customWidth="1"/>
    <col min="17" max="18" width="5" bestFit="1" customWidth="1"/>
    <col min="19" max="19" width="4" bestFit="1" customWidth="1"/>
    <col min="20" max="34" width="5" bestFit="1" customWidth="1"/>
    <col min="35" max="35" width="4" bestFit="1" customWidth="1"/>
    <col min="36" max="47" width="5" bestFit="1" customWidth="1"/>
    <col min="48" max="48" width="4" bestFit="1" customWidth="1"/>
    <col min="49" max="49" width="5" bestFit="1" customWidth="1"/>
    <col min="50" max="50" width="4" bestFit="1" customWidth="1"/>
    <col min="51" max="52" width="5" bestFit="1" customWidth="1"/>
    <col min="53" max="53" width="4" bestFit="1" customWidth="1"/>
    <col min="54" max="62" width="5" bestFit="1" customWidth="1"/>
    <col min="63" max="63" width="2" bestFit="1" customWidth="1"/>
    <col min="64" max="67" width="5" bestFit="1" customWidth="1"/>
    <col min="68" max="68" width="4" bestFit="1" customWidth="1"/>
    <col min="69" max="72" width="5" bestFit="1" customWidth="1"/>
    <col min="73" max="73" width="4" bestFit="1" customWidth="1"/>
    <col min="74" max="78" width="5" bestFit="1" customWidth="1"/>
    <col min="79" max="79" width="6" bestFit="1" customWidth="1"/>
    <col min="80" max="103" width="5" bestFit="1" customWidth="1"/>
    <col min="104" max="104" width="4" bestFit="1" customWidth="1"/>
    <col min="105" max="107" width="5" bestFit="1" customWidth="1"/>
    <col min="108" max="109" width="6" bestFit="1" customWidth="1"/>
    <col min="110" max="110" width="4" bestFit="1" customWidth="1"/>
    <col min="111" max="113" width="5" bestFit="1" customWidth="1"/>
    <col min="114" max="114" width="6" bestFit="1" customWidth="1"/>
    <col min="115" max="117" width="5" bestFit="1" customWidth="1"/>
    <col min="118" max="118" width="4" bestFit="1" customWidth="1"/>
    <col min="119" max="122" width="5" bestFit="1" customWidth="1"/>
    <col min="123" max="123" width="4" bestFit="1" customWidth="1"/>
    <col min="124" max="131" width="5" bestFit="1" customWidth="1"/>
    <col min="132" max="132" width="4" bestFit="1" customWidth="1"/>
    <col min="133" max="133" width="5" bestFit="1" customWidth="1"/>
    <col min="134" max="134" width="6" bestFit="1" customWidth="1"/>
    <col min="135" max="135" width="5" bestFit="1" customWidth="1"/>
    <col min="136" max="136" width="4" bestFit="1" customWidth="1"/>
    <col min="137" max="138" width="5" bestFit="1" customWidth="1"/>
    <col min="139" max="139" width="6" bestFit="1" customWidth="1"/>
    <col min="140" max="140" width="4" bestFit="1" customWidth="1"/>
    <col min="141" max="141" width="6" bestFit="1" customWidth="1"/>
    <col min="142" max="148" width="5" bestFit="1" customWidth="1"/>
    <col min="149" max="149" width="6" bestFit="1" customWidth="1"/>
    <col min="150" max="151" width="5" bestFit="1" customWidth="1"/>
    <col min="152" max="152" width="4" bestFit="1" customWidth="1"/>
    <col min="153" max="154" width="5" bestFit="1" customWidth="1"/>
    <col min="155" max="155" width="6" bestFit="1" customWidth="1"/>
    <col min="156" max="174" width="5" bestFit="1" customWidth="1"/>
    <col min="175" max="175" width="4" bestFit="1" customWidth="1"/>
    <col min="176" max="176" width="5" bestFit="1" customWidth="1"/>
    <col min="177" max="177" width="6" bestFit="1" customWidth="1"/>
    <col min="178" max="178" width="4" bestFit="1" customWidth="1"/>
    <col min="179" max="180" width="5" bestFit="1" customWidth="1"/>
    <col min="181" max="181" width="4" bestFit="1" customWidth="1"/>
    <col min="182" max="185" width="5" bestFit="1" customWidth="1"/>
    <col min="186" max="186" width="10.77734375" bestFit="1" customWidth="1"/>
  </cols>
  <sheetData>
    <row r="1" spans="1:16" ht="18" x14ac:dyDescent="0.35">
      <c r="E1" s="1" t="s">
        <v>530</v>
      </c>
    </row>
    <row r="3" spans="1:16" x14ac:dyDescent="0.3">
      <c r="A3" s="39" t="s">
        <v>301</v>
      </c>
      <c r="B3" s="39" t="s">
        <v>304</v>
      </c>
      <c r="C3" s="39" t="s">
        <v>305</v>
      </c>
      <c r="D3" s="40" t="s">
        <v>306</v>
      </c>
      <c r="E3" s="40" t="s">
        <v>307</v>
      </c>
      <c r="F3" s="39" t="s">
        <v>308</v>
      </c>
      <c r="G3" s="39" t="s">
        <v>309</v>
      </c>
      <c r="H3" s="40" t="s">
        <v>548</v>
      </c>
      <c r="I3" s="39" t="s">
        <v>549</v>
      </c>
      <c r="J3" s="40" t="s">
        <v>545</v>
      </c>
    </row>
    <row r="4" spans="1:16" x14ac:dyDescent="0.3">
      <c r="A4" s="5" t="s">
        <v>319</v>
      </c>
      <c r="B4" s="3">
        <v>1461</v>
      </c>
      <c r="C4" s="3">
        <v>184</v>
      </c>
      <c r="D4" s="3">
        <v>344</v>
      </c>
      <c r="E4" s="3">
        <v>21915</v>
      </c>
      <c r="F4" s="3">
        <v>21675</v>
      </c>
      <c r="G4" s="3">
        <v>15</v>
      </c>
      <c r="H4" s="5">
        <v>1135</v>
      </c>
      <c r="I4" s="5">
        <v>88</v>
      </c>
      <c r="J4" s="5">
        <v>8.06</v>
      </c>
    </row>
    <row r="5" spans="1:16" x14ac:dyDescent="0.3">
      <c r="A5" s="5" t="s">
        <v>324</v>
      </c>
      <c r="B5" s="3">
        <v>4054</v>
      </c>
      <c r="C5" s="3">
        <v>389</v>
      </c>
      <c r="D5" s="3">
        <v>493</v>
      </c>
      <c r="E5" s="3">
        <v>64864</v>
      </c>
      <c r="F5" s="3">
        <v>64383</v>
      </c>
      <c r="G5" s="3">
        <v>117</v>
      </c>
      <c r="H5" s="5">
        <v>1312</v>
      </c>
      <c r="I5" s="5">
        <v>310</v>
      </c>
      <c r="J5" s="5">
        <v>4.9800000000000004</v>
      </c>
      <c r="M5" s="63" t="s">
        <v>603</v>
      </c>
    </row>
    <row r="6" spans="1:16" x14ac:dyDescent="0.3">
      <c r="A6" s="5" t="s">
        <v>311</v>
      </c>
      <c r="B6" s="3">
        <v>2795</v>
      </c>
      <c r="C6" s="3">
        <v>105</v>
      </c>
      <c r="D6" s="3">
        <v>49</v>
      </c>
      <c r="E6" s="3">
        <v>53105</v>
      </c>
      <c r="F6" s="3">
        <v>52307</v>
      </c>
      <c r="G6" s="3">
        <v>204</v>
      </c>
      <c r="H6" s="5">
        <v>584</v>
      </c>
      <c r="I6" s="5">
        <v>169</v>
      </c>
      <c r="J6" s="5">
        <v>8.31</v>
      </c>
    </row>
    <row r="7" spans="1:16" x14ac:dyDescent="0.3">
      <c r="A7" s="5" t="s">
        <v>316</v>
      </c>
      <c r="B7" s="3">
        <v>2404</v>
      </c>
      <c r="C7" s="3">
        <v>363</v>
      </c>
      <c r="D7" s="3">
        <v>138</v>
      </c>
      <c r="E7" s="3">
        <v>19232</v>
      </c>
      <c r="F7" s="3">
        <v>18636</v>
      </c>
      <c r="G7" s="3">
        <v>128</v>
      </c>
      <c r="H7" s="5">
        <v>1535</v>
      </c>
      <c r="I7" s="5">
        <v>445</v>
      </c>
      <c r="J7" s="5">
        <v>4.1100000000000003</v>
      </c>
      <c r="M7" s="11" t="s">
        <v>533</v>
      </c>
      <c r="N7" t="s">
        <v>546</v>
      </c>
      <c r="P7" s="20" t="s">
        <v>547</v>
      </c>
    </row>
    <row r="8" spans="1:16" x14ac:dyDescent="0.3">
      <c r="A8" s="5" t="s">
        <v>319</v>
      </c>
      <c r="B8" s="3">
        <v>3557</v>
      </c>
      <c r="C8" s="3">
        <v>687</v>
      </c>
      <c r="D8" s="3">
        <v>424</v>
      </c>
      <c r="E8" s="3">
        <v>71140</v>
      </c>
      <c r="F8" s="3">
        <v>70701</v>
      </c>
      <c r="G8" s="3">
        <v>224</v>
      </c>
      <c r="H8" s="5">
        <v>656</v>
      </c>
      <c r="I8" s="5">
        <v>139</v>
      </c>
      <c r="J8" s="5">
        <v>9.0500000000000007</v>
      </c>
      <c r="M8" s="18" t="s">
        <v>319</v>
      </c>
      <c r="N8" s="19">
        <v>285.78000000000003</v>
      </c>
    </row>
    <row r="9" spans="1:16" x14ac:dyDescent="0.3">
      <c r="A9" s="5" t="s">
        <v>324</v>
      </c>
      <c r="B9" s="3">
        <v>2945</v>
      </c>
      <c r="C9" s="3">
        <v>930</v>
      </c>
      <c r="D9" s="3">
        <v>355</v>
      </c>
      <c r="E9" s="3">
        <v>23560</v>
      </c>
      <c r="F9" s="3">
        <v>23275</v>
      </c>
      <c r="G9" s="3">
        <v>256</v>
      </c>
      <c r="H9" s="5">
        <v>1697</v>
      </c>
      <c r="I9" s="5">
        <v>414</v>
      </c>
      <c r="J9" s="5">
        <v>2.37</v>
      </c>
      <c r="M9" s="12" t="s">
        <v>311</v>
      </c>
      <c r="N9">
        <v>282.79000000000002</v>
      </c>
    </row>
    <row r="10" spans="1:16" x14ac:dyDescent="0.3">
      <c r="A10" s="5" t="s">
        <v>311</v>
      </c>
      <c r="B10" s="3">
        <v>3860</v>
      </c>
      <c r="C10" s="3">
        <v>201</v>
      </c>
      <c r="D10" s="3">
        <v>279</v>
      </c>
      <c r="E10" s="3">
        <v>61760</v>
      </c>
      <c r="F10" s="3">
        <v>61660</v>
      </c>
      <c r="G10" s="3">
        <v>235</v>
      </c>
      <c r="H10" s="5">
        <v>436</v>
      </c>
      <c r="I10" s="5">
        <v>250</v>
      </c>
      <c r="J10" s="5">
        <v>4.01</v>
      </c>
      <c r="M10" s="12" t="s">
        <v>324</v>
      </c>
      <c r="N10">
        <v>282.43</v>
      </c>
    </row>
    <row r="11" spans="1:16" x14ac:dyDescent="0.3">
      <c r="A11" s="5" t="s">
        <v>316</v>
      </c>
      <c r="B11" s="3">
        <v>3929</v>
      </c>
      <c r="C11" s="3">
        <v>262</v>
      </c>
      <c r="D11" s="3">
        <v>278</v>
      </c>
      <c r="E11" s="3">
        <v>43219</v>
      </c>
      <c r="F11" s="3">
        <v>42841</v>
      </c>
      <c r="G11" s="3">
        <v>39</v>
      </c>
      <c r="H11" s="5">
        <v>1197</v>
      </c>
      <c r="I11" s="5">
        <v>203</v>
      </c>
      <c r="J11" s="5">
        <v>3.16</v>
      </c>
      <c r="M11" s="12" t="s">
        <v>316</v>
      </c>
      <c r="N11">
        <v>277.94</v>
      </c>
    </row>
    <row r="12" spans="1:16" x14ac:dyDescent="0.3">
      <c r="A12" s="5" t="s">
        <v>319</v>
      </c>
      <c r="B12" s="3">
        <v>3784</v>
      </c>
      <c r="C12" s="3">
        <v>808</v>
      </c>
      <c r="D12" s="3">
        <v>404</v>
      </c>
      <c r="E12" s="3">
        <v>56760</v>
      </c>
      <c r="F12" s="3">
        <v>56343</v>
      </c>
      <c r="G12" s="3">
        <v>131</v>
      </c>
      <c r="H12" s="5">
        <v>1048</v>
      </c>
      <c r="I12" s="5">
        <v>155</v>
      </c>
      <c r="J12" s="5">
        <v>2.46</v>
      </c>
      <c r="M12" s="12" t="s">
        <v>532</v>
      </c>
      <c r="N12">
        <v>1128.94</v>
      </c>
    </row>
    <row r="13" spans="1:16" x14ac:dyDescent="0.3">
      <c r="A13" s="5" t="s">
        <v>324</v>
      </c>
      <c r="B13" s="3">
        <v>4241</v>
      </c>
      <c r="C13" s="3">
        <v>902</v>
      </c>
      <c r="D13" s="3">
        <v>47</v>
      </c>
      <c r="E13" s="3">
        <v>72097</v>
      </c>
      <c r="F13" s="3">
        <v>71598</v>
      </c>
      <c r="G13" s="3">
        <v>167</v>
      </c>
      <c r="H13" s="5">
        <v>1753</v>
      </c>
      <c r="I13" s="5">
        <v>371</v>
      </c>
      <c r="J13" s="5">
        <v>8.11</v>
      </c>
    </row>
    <row r="14" spans="1:16" x14ac:dyDescent="0.3">
      <c r="A14" s="5" t="s">
        <v>311</v>
      </c>
      <c r="B14" s="3">
        <v>1792</v>
      </c>
      <c r="C14" s="3">
        <v>614</v>
      </c>
      <c r="D14" s="3">
        <v>497</v>
      </c>
      <c r="E14" s="3">
        <v>25088</v>
      </c>
      <c r="F14" s="3">
        <v>24675</v>
      </c>
      <c r="G14" s="3">
        <v>65</v>
      </c>
      <c r="H14" s="5">
        <v>1335</v>
      </c>
      <c r="I14" s="5">
        <v>40</v>
      </c>
      <c r="J14" s="5">
        <v>8.19</v>
      </c>
    </row>
    <row r="15" spans="1:16" x14ac:dyDescent="0.3">
      <c r="A15" s="5" t="s">
        <v>316</v>
      </c>
      <c r="B15" s="3">
        <v>1946</v>
      </c>
      <c r="C15" s="3">
        <v>686</v>
      </c>
      <c r="D15" s="3">
        <v>377</v>
      </c>
      <c r="E15" s="3">
        <v>23352</v>
      </c>
      <c r="F15" s="3">
        <v>22982</v>
      </c>
      <c r="G15" s="3">
        <v>213</v>
      </c>
      <c r="H15" s="5">
        <v>403</v>
      </c>
      <c r="I15" s="5">
        <v>66</v>
      </c>
      <c r="J15" s="5">
        <v>3.49</v>
      </c>
    </row>
    <row r="16" spans="1:16" x14ac:dyDescent="0.3">
      <c r="A16" s="5" t="s">
        <v>319</v>
      </c>
      <c r="B16" s="3">
        <v>1171</v>
      </c>
      <c r="C16" s="3">
        <v>286</v>
      </c>
      <c r="D16" s="3">
        <v>231</v>
      </c>
      <c r="E16" s="3">
        <v>22249</v>
      </c>
      <c r="F16" s="3">
        <v>21282</v>
      </c>
      <c r="G16" s="3">
        <v>114</v>
      </c>
      <c r="H16" s="5">
        <v>911</v>
      </c>
      <c r="I16" s="5">
        <v>282</v>
      </c>
      <c r="J16" s="5">
        <v>6.92</v>
      </c>
    </row>
    <row r="17" spans="1:14" x14ac:dyDescent="0.3">
      <c r="A17" s="5" t="s">
        <v>324</v>
      </c>
      <c r="B17" s="3">
        <v>4242</v>
      </c>
      <c r="C17" s="3">
        <v>555</v>
      </c>
      <c r="D17" s="3">
        <v>131</v>
      </c>
      <c r="E17" s="3">
        <v>33936</v>
      </c>
      <c r="F17" s="3">
        <v>33802</v>
      </c>
      <c r="G17" s="3">
        <v>265</v>
      </c>
      <c r="H17" s="5">
        <v>1779</v>
      </c>
      <c r="I17" s="5">
        <v>109</v>
      </c>
      <c r="J17" s="5">
        <v>9.1199999999999992</v>
      </c>
    </row>
    <row r="18" spans="1:14" x14ac:dyDescent="0.3">
      <c r="A18" s="5" t="s">
        <v>311</v>
      </c>
      <c r="B18" s="3">
        <v>3888</v>
      </c>
      <c r="C18" s="3">
        <v>604</v>
      </c>
      <c r="D18" s="3">
        <v>128</v>
      </c>
      <c r="E18" s="3">
        <v>77760</v>
      </c>
      <c r="F18" s="3">
        <v>77167</v>
      </c>
      <c r="G18" s="3">
        <v>20</v>
      </c>
      <c r="H18" s="5">
        <v>1238</v>
      </c>
      <c r="I18" s="5">
        <v>403</v>
      </c>
      <c r="J18" s="5">
        <v>3.5</v>
      </c>
    </row>
    <row r="19" spans="1:14" x14ac:dyDescent="0.3">
      <c r="A19" s="5" t="s">
        <v>316</v>
      </c>
      <c r="B19" s="3">
        <v>3452</v>
      </c>
      <c r="C19" s="3">
        <v>377</v>
      </c>
      <c r="D19" s="3">
        <v>360</v>
      </c>
      <c r="E19" s="3">
        <v>55232</v>
      </c>
      <c r="F19" s="3">
        <v>55075</v>
      </c>
      <c r="G19" s="3">
        <v>87</v>
      </c>
      <c r="H19" s="5">
        <v>308</v>
      </c>
      <c r="I19" s="5">
        <v>431</v>
      </c>
      <c r="J19" s="5">
        <v>2.62</v>
      </c>
      <c r="M19" s="63" t="s">
        <v>604</v>
      </c>
    </row>
    <row r="20" spans="1:14" x14ac:dyDescent="0.3">
      <c r="A20" s="5" t="s">
        <v>319</v>
      </c>
      <c r="B20" s="3">
        <v>4441</v>
      </c>
      <c r="C20" s="3">
        <v>511</v>
      </c>
      <c r="D20" s="3">
        <v>70</v>
      </c>
      <c r="E20" s="3">
        <v>53292</v>
      </c>
      <c r="F20" s="3">
        <v>53082</v>
      </c>
      <c r="G20" s="3">
        <v>159</v>
      </c>
      <c r="H20" s="5">
        <v>226</v>
      </c>
      <c r="I20" s="5">
        <v>445</v>
      </c>
      <c r="J20" s="5">
        <v>9.36</v>
      </c>
    </row>
    <row r="21" spans="1:14" x14ac:dyDescent="0.3">
      <c r="A21" s="5" t="s">
        <v>324</v>
      </c>
      <c r="B21" s="3">
        <v>3000</v>
      </c>
      <c r="C21" s="3">
        <v>382</v>
      </c>
      <c r="D21" s="3">
        <v>325</v>
      </c>
      <c r="E21" s="3">
        <v>36000</v>
      </c>
      <c r="F21" s="3">
        <v>35819</v>
      </c>
      <c r="G21" s="3">
        <v>19</v>
      </c>
      <c r="H21" s="5">
        <v>505</v>
      </c>
      <c r="I21" s="5">
        <v>441</v>
      </c>
      <c r="J21" s="5">
        <v>4.4800000000000004</v>
      </c>
      <c r="M21" s="11" t="s">
        <v>533</v>
      </c>
      <c r="N21" t="s">
        <v>550</v>
      </c>
    </row>
    <row r="22" spans="1:14" x14ac:dyDescent="0.3">
      <c r="A22" s="5" t="s">
        <v>311</v>
      </c>
      <c r="B22" s="3">
        <v>1071</v>
      </c>
      <c r="C22" s="3">
        <v>519</v>
      </c>
      <c r="D22" s="3">
        <v>22</v>
      </c>
      <c r="E22" s="3">
        <v>16065</v>
      </c>
      <c r="F22" s="3">
        <v>15865</v>
      </c>
      <c r="G22" s="3">
        <v>103</v>
      </c>
      <c r="H22" s="5">
        <v>1420</v>
      </c>
      <c r="I22" s="5">
        <v>63</v>
      </c>
      <c r="J22" s="5">
        <v>6.19</v>
      </c>
      <c r="M22" s="12" t="s">
        <v>324</v>
      </c>
      <c r="N22">
        <v>1379539</v>
      </c>
    </row>
    <row r="23" spans="1:14" x14ac:dyDescent="0.3">
      <c r="A23" s="5" t="s">
        <v>316</v>
      </c>
      <c r="B23" s="3">
        <v>4054</v>
      </c>
      <c r="C23" s="3">
        <v>488</v>
      </c>
      <c r="D23" s="3">
        <v>373</v>
      </c>
      <c r="E23" s="3">
        <v>77026</v>
      </c>
      <c r="F23" s="3">
        <v>76881</v>
      </c>
      <c r="G23" s="3">
        <v>25</v>
      </c>
      <c r="H23" s="5">
        <v>144</v>
      </c>
      <c r="I23" s="5">
        <v>53</v>
      </c>
      <c r="J23" s="5">
        <v>8.7200000000000006</v>
      </c>
      <c r="M23" s="12" t="s">
        <v>319</v>
      </c>
      <c r="N23">
        <v>1164373</v>
      </c>
    </row>
    <row r="24" spans="1:14" x14ac:dyDescent="0.3">
      <c r="A24" s="5" t="s">
        <v>319</v>
      </c>
      <c r="B24" s="3">
        <v>4838</v>
      </c>
      <c r="C24" s="3">
        <v>640</v>
      </c>
      <c r="D24" s="3">
        <v>128</v>
      </c>
      <c r="E24" s="3">
        <v>72570</v>
      </c>
      <c r="F24" s="3">
        <v>72396</v>
      </c>
      <c r="G24" s="3">
        <v>83</v>
      </c>
      <c r="H24" s="5">
        <v>1757</v>
      </c>
      <c r="I24" s="5">
        <v>85</v>
      </c>
      <c r="J24" s="5">
        <v>8.74</v>
      </c>
      <c r="M24" s="12" t="s">
        <v>311</v>
      </c>
      <c r="N24">
        <v>1060357</v>
      </c>
    </row>
    <row r="25" spans="1:14" x14ac:dyDescent="0.3">
      <c r="A25" s="5" t="s">
        <v>324</v>
      </c>
      <c r="B25" s="3">
        <v>1570</v>
      </c>
      <c r="C25" s="3">
        <v>187</v>
      </c>
      <c r="D25" s="3">
        <v>260</v>
      </c>
      <c r="E25" s="3">
        <v>25120</v>
      </c>
      <c r="F25" s="3">
        <v>24613</v>
      </c>
      <c r="G25" s="3">
        <v>133</v>
      </c>
      <c r="H25" s="5">
        <v>350</v>
      </c>
      <c r="I25" s="5">
        <v>41</v>
      </c>
      <c r="J25" s="5">
        <v>1.91</v>
      </c>
      <c r="M25" s="12" t="s">
        <v>316</v>
      </c>
      <c r="N25">
        <v>1228647</v>
      </c>
    </row>
    <row r="26" spans="1:14" x14ac:dyDescent="0.3">
      <c r="A26" s="5" t="s">
        <v>311</v>
      </c>
      <c r="B26" s="3">
        <v>1606</v>
      </c>
      <c r="C26" s="3">
        <v>547</v>
      </c>
      <c r="D26" s="3">
        <v>316</v>
      </c>
      <c r="E26" s="3">
        <v>32120</v>
      </c>
      <c r="F26" s="3">
        <v>31736</v>
      </c>
      <c r="G26" s="3">
        <v>225</v>
      </c>
      <c r="H26" s="5">
        <v>987</v>
      </c>
      <c r="I26" s="5">
        <v>440</v>
      </c>
      <c r="J26" s="5">
        <v>4.66</v>
      </c>
      <c r="M26" s="12" t="s">
        <v>532</v>
      </c>
      <c r="N26">
        <v>4832916</v>
      </c>
    </row>
    <row r="27" spans="1:14" x14ac:dyDescent="0.3">
      <c r="A27" s="5" t="s">
        <v>316</v>
      </c>
      <c r="B27" s="3">
        <v>3961</v>
      </c>
      <c r="C27" s="3">
        <v>761</v>
      </c>
      <c r="D27" s="3">
        <v>131</v>
      </c>
      <c r="E27" s="3">
        <v>67337</v>
      </c>
      <c r="F27" s="3">
        <v>66615</v>
      </c>
      <c r="G27" s="3">
        <v>161</v>
      </c>
      <c r="H27" s="5">
        <v>883</v>
      </c>
      <c r="I27" s="5">
        <v>369</v>
      </c>
      <c r="J27" s="5">
        <v>2.88</v>
      </c>
    </row>
    <row r="28" spans="1:14" x14ac:dyDescent="0.3">
      <c r="A28" s="5" t="s">
        <v>319</v>
      </c>
      <c r="B28" s="3">
        <v>3128</v>
      </c>
      <c r="C28" s="3">
        <v>211</v>
      </c>
      <c r="D28" s="3">
        <v>197</v>
      </c>
      <c r="E28" s="3">
        <v>59432</v>
      </c>
      <c r="F28" s="3">
        <v>59182</v>
      </c>
      <c r="G28" s="3">
        <v>238</v>
      </c>
      <c r="H28" s="5">
        <v>1960</v>
      </c>
      <c r="I28" s="5">
        <v>115</v>
      </c>
      <c r="J28" s="5">
        <v>3.74</v>
      </c>
    </row>
    <row r="29" spans="1:14" x14ac:dyDescent="0.3">
      <c r="A29" s="5" t="s">
        <v>324</v>
      </c>
      <c r="B29" s="3">
        <v>3009</v>
      </c>
      <c r="C29" s="3">
        <v>413</v>
      </c>
      <c r="D29" s="3">
        <v>358</v>
      </c>
      <c r="E29" s="3">
        <v>42126</v>
      </c>
      <c r="F29" s="3">
        <v>41309</v>
      </c>
      <c r="G29" s="3">
        <v>211</v>
      </c>
      <c r="H29" s="5">
        <v>170</v>
      </c>
      <c r="I29" s="5">
        <v>334</v>
      </c>
      <c r="J29" s="5">
        <v>6.44</v>
      </c>
    </row>
    <row r="30" spans="1:14" x14ac:dyDescent="0.3">
      <c r="A30" s="5" t="s">
        <v>311</v>
      </c>
      <c r="B30" s="3">
        <v>2076</v>
      </c>
      <c r="C30" s="3">
        <v>195</v>
      </c>
      <c r="D30" s="3">
        <v>104</v>
      </c>
      <c r="E30" s="3">
        <v>33216</v>
      </c>
      <c r="F30" s="3">
        <v>32244</v>
      </c>
      <c r="G30" s="3">
        <v>51</v>
      </c>
      <c r="H30" s="5">
        <v>704</v>
      </c>
      <c r="I30" s="5">
        <v>275</v>
      </c>
      <c r="J30" s="5">
        <v>8.56</v>
      </c>
    </row>
    <row r="31" spans="1:14" x14ac:dyDescent="0.3">
      <c r="A31" s="5" t="s">
        <v>316</v>
      </c>
      <c r="B31" s="3">
        <v>432</v>
      </c>
      <c r="C31" s="3">
        <v>624</v>
      </c>
      <c r="D31" s="3">
        <v>123</v>
      </c>
      <c r="E31" s="3">
        <v>6912</v>
      </c>
      <c r="F31" s="3">
        <v>6259</v>
      </c>
      <c r="G31" s="3">
        <v>79</v>
      </c>
      <c r="H31" s="5">
        <v>224</v>
      </c>
      <c r="I31" s="5">
        <v>64</v>
      </c>
      <c r="J31" s="5">
        <v>4.5599999999999996</v>
      </c>
    </row>
    <row r="32" spans="1:14" x14ac:dyDescent="0.3">
      <c r="A32" s="5" t="s">
        <v>319</v>
      </c>
      <c r="B32" s="3">
        <v>2566</v>
      </c>
      <c r="C32" s="3">
        <v>118</v>
      </c>
      <c r="D32" s="3">
        <v>37</v>
      </c>
      <c r="E32" s="3">
        <v>12830</v>
      </c>
      <c r="F32" s="3">
        <v>12264</v>
      </c>
      <c r="G32" s="3">
        <v>221</v>
      </c>
      <c r="H32" s="5">
        <v>508</v>
      </c>
      <c r="I32" s="5">
        <v>349</v>
      </c>
      <c r="J32" s="5">
        <v>7.88</v>
      </c>
    </row>
    <row r="33" spans="1:10" x14ac:dyDescent="0.3">
      <c r="A33" s="5" t="s">
        <v>324</v>
      </c>
      <c r="B33" s="3">
        <v>3095</v>
      </c>
      <c r="C33" s="3">
        <v>39</v>
      </c>
      <c r="D33" s="3">
        <v>78</v>
      </c>
      <c r="E33" s="3">
        <v>55710</v>
      </c>
      <c r="F33" s="3">
        <v>54808</v>
      </c>
      <c r="G33" s="3">
        <v>93</v>
      </c>
      <c r="H33" s="5">
        <v>1391</v>
      </c>
      <c r="I33" s="5">
        <v>430</v>
      </c>
      <c r="J33" s="5">
        <v>7.86</v>
      </c>
    </row>
    <row r="34" spans="1:10" x14ac:dyDescent="0.3">
      <c r="A34" s="5" t="s">
        <v>311</v>
      </c>
      <c r="B34" s="3">
        <v>438</v>
      </c>
      <c r="C34" s="3">
        <v>153</v>
      </c>
      <c r="D34" s="3">
        <v>275</v>
      </c>
      <c r="E34" s="3">
        <v>3066</v>
      </c>
      <c r="F34" s="3">
        <v>2701</v>
      </c>
      <c r="G34" s="3">
        <v>282</v>
      </c>
      <c r="H34" s="5">
        <v>1701</v>
      </c>
      <c r="I34" s="5">
        <v>385</v>
      </c>
      <c r="J34" s="5">
        <v>5.34</v>
      </c>
    </row>
    <row r="35" spans="1:10" x14ac:dyDescent="0.3">
      <c r="A35" s="5" t="s">
        <v>316</v>
      </c>
      <c r="B35" s="3">
        <v>2278</v>
      </c>
      <c r="C35" s="3">
        <v>10</v>
      </c>
      <c r="D35" s="3">
        <v>321</v>
      </c>
      <c r="E35" s="3">
        <v>13668</v>
      </c>
      <c r="F35" s="3">
        <v>12676</v>
      </c>
      <c r="G35" s="3">
        <v>275</v>
      </c>
      <c r="H35" s="5">
        <v>804</v>
      </c>
      <c r="I35" s="5">
        <v>487</v>
      </c>
      <c r="J35" s="5">
        <v>5.52</v>
      </c>
    </row>
    <row r="36" spans="1:10" x14ac:dyDescent="0.3">
      <c r="A36" s="5" t="s">
        <v>319</v>
      </c>
      <c r="B36" s="3">
        <v>1407</v>
      </c>
      <c r="C36" s="3">
        <v>400</v>
      </c>
      <c r="D36" s="3">
        <v>351</v>
      </c>
      <c r="E36" s="3">
        <v>16884</v>
      </c>
      <c r="F36" s="3">
        <v>15954</v>
      </c>
      <c r="G36" s="3">
        <v>113</v>
      </c>
      <c r="H36" s="5">
        <v>653</v>
      </c>
      <c r="I36" s="5">
        <v>112</v>
      </c>
      <c r="J36" s="5">
        <v>4.05</v>
      </c>
    </row>
    <row r="37" spans="1:10" x14ac:dyDescent="0.3">
      <c r="A37" s="5" t="s">
        <v>324</v>
      </c>
      <c r="B37" s="3">
        <v>1652</v>
      </c>
      <c r="C37" s="3">
        <v>89</v>
      </c>
      <c r="D37" s="3">
        <v>357</v>
      </c>
      <c r="E37" s="3">
        <v>29736</v>
      </c>
      <c r="F37" s="3">
        <v>28771</v>
      </c>
      <c r="G37" s="3">
        <v>215</v>
      </c>
      <c r="H37" s="5">
        <v>160</v>
      </c>
      <c r="I37" s="5">
        <v>478</v>
      </c>
      <c r="J37" s="5">
        <v>7.73</v>
      </c>
    </row>
    <row r="38" spans="1:10" x14ac:dyDescent="0.3">
      <c r="A38" s="5" t="s">
        <v>311</v>
      </c>
      <c r="B38" s="3">
        <v>3775</v>
      </c>
      <c r="C38" s="3">
        <v>16</v>
      </c>
      <c r="D38" s="3">
        <v>239</v>
      </c>
      <c r="E38" s="3">
        <v>33975</v>
      </c>
      <c r="F38" s="3">
        <v>33310</v>
      </c>
      <c r="G38" s="3">
        <v>271</v>
      </c>
      <c r="H38" s="5">
        <v>1756</v>
      </c>
      <c r="I38" s="5">
        <v>261</v>
      </c>
      <c r="J38" s="5">
        <v>4.3600000000000003</v>
      </c>
    </row>
    <row r="39" spans="1:10" x14ac:dyDescent="0.3">
      <c r="A39" s="5" t="s">
        <v>316</v>
      </c>
      <c r="B39" s="3">
        <v>4518</v>
      </c>
      <c r="C39" s="3">
        <v>285</v>
      </c>
      <c r="D39" s="3">
        <v>383</v>
      </c>
      <c r="E39" s="3">
        <v>67770</v>
      </c>
      <c r="F39" s="3">
        <v>67621</v>
      </c>
      <c r="G39" s="3">
        <v>31</v>
      </c>
      <c r="H39" s="5">
        <v>576</v>
      </c>
      <c r="I39" s="5">
        <v>101</v>
      </c>
      <c r="J39" s="5">
        <v>3.48</v>
      </c>
    </row>
    <row r="40" spans="1:10" x14ac:dyDescent="0.3">
      <c r="A40" s="5" t="s">
        <v>319</v>
      </c>
      <c r="B40" s="3">
        <v>3024</v>
      </c>
      <c r="C40" s="3">
        <v>925</v>
      </c>
      <c r="D40" s="3">
        <v>350</v>
      </c>
      <c r="E40" s="3">
        <v>24192</v>
      </c>
      <c r="F40" s="3">
        <v>23518</v>
      </c>
      <c r="G40" s="3">
        <v>36</v>
      </c>
      <c r="H40" s="5">
        <v>645</v>
      </c>
      <c r="I40" s="5">
        <v>293</v>
      </c>
      <c r="J40" s="5">
        <v>7.83</v>
      </c>
    </row>
    <row r="41" spans="1:10" x14ac:dyDescent="0.3">
      <c r="A41" s="5" t="s">
        <v>324</v>
      </c>
      <c r="B41" s="3">
        <v>3138</v>
      </c>
      <c r="C41" s="3">
        <v>123</v>
      </c>
      <c r="D41" s="3">
        <v>291</v>
      </c>
      <c r="E41" s="3">
        <v>28242</v>
      </c>
      <c r="F41" s="3">
        <v>27550</v>
      </c>
      <c r="G41" s="3">
        <v>87</v>
      </c>
      <c r="H41" s="5">
        <v>214</v>
      </c>
      <c r="I41" s="5">
        <v>411</v>
      </c>
      <c r="J41" s="5">
        <v>6.11</v>
      </c>
    </row>
    <row r="42" spans="1:10" x14ac:dyDescent="0.3">
      <c r="A42" s="5" t="s">
        <v>311</v>
      </c>
      <c r="B42" s="3">
        <v>3564</v>
      </c>
      <c r="C42" s="3">
        <v>629</v>
      </c>
      <c r="D42" s="3">
        <v>177</v>
      </c>
      <c r="E42" s="3">
        <v>60588</v>
      </c>
      <c r="F42" s="3">
        <v>59627</v>
      </c>
      <c r="G42" s="3">
        <v>92</v>
      </c>
      <c r="H42" s="5">
        <v>826</v>
      </c>
      <c r="I42" s="5">
        <v>498</v>
      </c>
      <c r="J42" s="5">
        <v>9.43</v>
      </c>
    </row>
    <row r="43" spans="1:10" x14ac:dyDescent="0.3">
      <c r="A43" s="5" t="s">
        <v>316</v>
      </c>
      <c r="B43" s="3">
        <v>4750</v>
      </c>
      <c r="C43" s="3">
        <v>151</v>
      </c>
      <c r="D43" s="3">
        <v>415</v>
      </c>
      <c r="E43" s="3">
        <v>38000</v>
      </c>
      <c r="F43" s="3">
        <v>37792</v>
      </c>
      <c r="G43" s="3">
        <v>299</v>
      </c>
      <c r="H43" s="5">
        <v>460</v>
      </c>
      <c r="I43" s="5">
        <v>141</v>
      </c>
      <c r="J43" s="5">
        <v>4.04</v>
      </c>
    </row>
    <row r="44" spans="1:10" x14ac:dyDescent="0.3">
      <c r="A44" s="5" t="s">
        <v>319</v>
      </c>
      <c r="B44" s="3">
        <v>456</v>
      </c>
      <c r="C44" s="3">
        <v>629</v>
      </c>
      <c r="D44" s="3">
        <v>428</v>
      </c>
      <c r="E44" s="3">
        <v>8208</v>
      </c>
      <c r="F44" s="3">
        <v>7377</v>
      </c>
      <c r="G44" s="3">
        <v>205</v>
      </c>
      <c r="H44" s="5">
        <v>1528</v>
      </c>
      <c r="I44" s="5">
        <v>203</v>
      </c>
      <c r="J44" s="5">
        <v>6.23</v>
      </c>
    </row>
    <row r="45" spans="1:10" x14ac:dyDescent="0.3">
      <c r="A45" s="5" t="s">
        <v>324</v>
      </c>
      <c r="B45" s="3">
        <v>1543</v>
      </c>
      <c r="C45" s="3">
        <v>820</v>
      </c>
      <c r="D45" s="3">
        <v>333</v>
      </c>
      <c r="E45" s="3">
        <v>12344</v>
      </c>
      <c r="F45" s="3">
        <v>11496</v>
      </c>
      <c r="G45" s="3">
        <v>241</v>
      </c>
      <c r="H45" s="5">
        <v>1534</v>
      </c>
      <c r="I45" s="5">
        <v>200</v>
      </c>
      <c r="J45" s="5">
        <v>6.01</v>
      </c>
    </row>
    <row r="46" spans="1:10" x14ac:dyDescent="0.3">
      <c r="A46" s="5" t="s">
        <v>311</v>
      </c>
      <c r="B46" s="3">
        <v>2174</v>
      </c>
      <c r="C46" s="3">
        <v>658</v>
      </c>
      <c r="D46" s="3">
        <v>15</v>
      </c>
      <c r="E46" s="3">
        <v>13044</v>
      </c>
      <c r="F46" s="3">
        <v>12206</v>
      </c>
      <c r="G46" s="3">
        <v>137</v>
      </c>
      <c r="H46" s="5">
        <v>485</v>
      </c>
      <c r="I46" s="5">
        <v>448</v>
      </c>
      <c r="J46" s="5">
        <v>8.5500000000000007</v>
      </c>
    </row>
    <row r="47" spans="1:10" x14ac:dyDescent="0.3">
      <c r="A47" s="5" t="s">
        <v>316</v>
      </c>
      <c r="B47" s="3">
        <v>2358</v>
      </c>
      <c r="C47" s="3">
        <v>784</v>
      </c>
      <c r="D47" s="3">
        <v>344</v>
      </c>
      <c r="E47" s="3">
        <v>35370</v>
      </c>
      <c r="F47" s="3">
        <v>34475</v>
      </c>
      <c r="G47" s="3">
        <v>216</v>
      </c>
      <c r="H47" s="5">
        <v>1210</v>
      </c>
      <c r="I47" s="5">
        <v>178</v>
      </c>
      <c r="J47" s="5">
        <v>5.42</v>
      </c>
    </row>
    <row r="48" spans="1:10" x14ac:dyDescent="0.3">
      <c r="A48" s="5" t="s">
        <v>319</v>
      </c>
      <c r="B48" s="3">
        <v>3371</v>
      </c>
      <c r="C48" s="3">
        <v>106</v>
      </c>
      <c r="D48" s="3">
        <v>327</v>
      </c>
      <c r="E48" s="3">
        <v>50565</v>
      </c>
      <c r="F48" s="3">
        <v>49816</v>
      </c>
      <c r="G48" s="3">
        <v>176</v>
      </c>
      <c r="H48" s="5">
        <v>215</v>
      </c>
      <c r="I48" s="5">
        <v>139</v>
      </c>
      <c r="J48" s="5">
        <v>3.25</v>
      </c>
    </row>
    <row r="49" spans="1:10" x14ac:dyDescent="0.3">
      <c r="A49" s="5" t="s">
        <v>324</v>
      </c>
      <c r="B49" s="3">
        <v>1108</v>
      </c>
      <c r="C49" s="3">
        <v>177</v>
      </c>
      <c r="D49" s="3">
        <v>212</v>
      </c>
      <c r="E49" s="3">
        <v>8864</v>
      </c>
      <c r="F49" s="3">
        <v>8710</v>
      </c>
      <c r="G49" s="3">
        <v>97</v>
      </c>
      <c r="H49" s="5">
        <v>1078</v>
      </c>
      <c r="I49" s="5">
        <v>20</v>
      </c>
      <c r="J49" s="5">
        <v>8.84</v>
      </c>
    </row>
    <row r="50" spans="1:10" x14ac:dyDescent="0.3">
      <c r="A50" s="5" t="s">
        <v>311</v>
      </c>
      <c r="B50" s="3">
        <v>2704</v>
      </c>
      <c r="C50" s="3">
        <v>752</v>
      </c>
      <c r="D50" s="3">
        <v>153</v>
      </c>
      <c r="E50" s="3">
        <v>21632</v>
      </c>
      <c r="F50" s="3">
        <v>20792</v>
      </c>
      <c r="G50" s="3">
        <v>127</v>
      </c>
      <c r="H50" s="5">
        <v>1751</v>
      </c>
      <c r="I50" s="5">
        <v>86</v>
      </c>
      <c r="J50" s="5">
        <v>7.24</v>
      </c>
    </row>
    <row r="51" spans="1:10" x14ac:dyDescent="0.3">
      <c r="A51" s="5" t="s">
        <v>316</v>
      </c>
      <c r="B51" s="3">
        <v>1950</v>
      </c>
      <c r="C51" s="3">
        <v>295</v>
      </c>
      <c r="D51" s="3">
        <v>478</v>
      </c>
      <c r="E51" s="3">
        <v>37050</v>
      </c>
      <c r="F51" s="3">
        <v>36272</v>
      </c>
      <c r="G51" s="3">
        <v>119</v>
      </c>
      <c r="H51" s="5">
        <v>221</v>
      </c>
      <c r="I51" s="5">
        <v>31</v>
      </c>
      <c r="J51" s="5">
        <v>6.19</v>
      </c>
    </row>
    <row r="52" spans="1:10" x14ac:dyDescent="0.3">
      <c r="A52" s="5" t="s">
        <v>319</v>
      </c>
      <c r="B52" s="3">
        <v>2164</v>
      </c>
      <c r="C52" s="3">
        <v>549</v>
      </c>
      <c r="D52" s="3">
        <v>274</v>
      </c>
      <c r="E52" s="3">
        <v>28132</v>
      </c>
      <c r="F52" s="3">
        <v>27361</v>
      </c>
      <c r="G52" s="3">
        <v>177</v>
      </c>
      <c r="H52" s="5">
        <v>1685</v>
      </c>
      <c r="I52" s="5">
        <v>76</v>
      </c>
      <c r="J52" s="5">
        <v>5.71</v>
      </c>
    </row>
    <row r="53" spans="1:10" x14ac:dyDescent="0.3">
      <c r="A53" s="5" t="s">
        <v>324</v>
      </c>
      <c r="B53" s="3">
        <v>2754</v>
      </c>
      <c r="C53" s="3">
        <v>130</v>
      </c>
      <c r="D53" s="3">
        <v>90</v>
      </c>
      <c r="E53" s="3">
        <v>22032</v>
      </c>
      <c r="F53" s="3">
        <v>21288</v>
      </c>
      <c r="G53" s="3">
        <v>112</v>
      </c>
      <c r="H53" s="5">
        <v>248</v>
      </c>
      <c r="I53" s="5">
        <v>211</v>
      </c>
      <c r="J53" s="5">
        <v>9.0399999999999991</v>
      </c>
    </row>
    <row r="54" spans="1:10" x14ac:dyDescent="0.3">
      <c r="A54" s="5" t="s">
        <v>311</v>
      </c>
      <c r="B54" s="3">
        <v>2200</v>
      </c>
      <c r="C54" s="3">
        <v>504</v>
      </c>
      <c r="D54" s="3">
        <v>239</v>
      </c>
      <c r="E54" s="3">
        <v>37400</v>
      </c>
      <c r="F54" s="3">
        <v>36938</v>
      </c>
      <c r="G54" s="3">
        <v>225</v>
      </c>
      <c r="H54" s="5">
        <v>1300</v>
      </c>
      <c r="I54" s="5">
        <v>71</v>
      </c>
      <c r="J54" s="5">
        <v>3.91</v>
      </c>
    </row>
    <row r="55" spans="1:10" x14ac:dyDescent="0.3">
      <c r="A55" s="5" t="s">
        <v>316</v>
      </c>
      <c r="B55" s="3">
        <v>947</v>
      </c>
      <c r="C55" s="3">
        <v>338</v>
      </c>
      <c r="D55" s="3">
        <v>350</v>
      </c>
      <c r="E55" s="3">
        <v>10417</v>
      </c>
      <c r="F55" s="3">
        <v>9730</v>
      </c>
      <c r="G55" s="3">
        <v>34</v>
      </c>
      <c r="H55" s="5">
        <v>422</v>
      </c>
      <c r="I55" s="5">
        <v>394</v>
      </c>
      <c r="J55" s="5">
        <v>7.83</v>
      </c>
    </row>
    <row r="56" spans="1:10" x14ac:dyDescent="0.3">
      <c r="A56" s="5" t="s">
        <v>319</v>
      </c>
      <c r="B56" s="3">
        <v>804</v>
      </c>
      <c r="C56" s="3">
        <v>639</v>
      </c>
      <c r="D56" s="3">
        <v>43</v>
      </c>
      <c r="E56" s="3">
        <v>4020</v>
      </c>
      <c r="F56" s="3">
        <v>3144</v>
      </c>
      <c r="G56" s="3">
        <v>11</v>
      </c>
      <c r="H56" s="5">
        <v>1429</v>
      </c>
      <c r="I56" s="5">
        <v>182</v>
      </c>
      <c r="J56" s="5">
        <v>7.16</v>
      </c>
    </row>
    <row r="57" spans="1:10" x14ac:dyDescent="0.3">
      <c r="A57" s="5" t="s">
        <v>324</v>
      </c>
      <c r="B57" s="3">
        <v>1686</v>
      </c>
      <c r="C57" s="3">
        <v>904</v>
      </c>
      <c r="D57" s="3">
        <v>472</v>
      </c>
      <c r="E57" s="3">
        <v>18546</v>
      </c>
      <c r="F57" s="3">
        <v>18171</v>
      </c>
      <c r="G57" s="3">
        <v>52</v>
      </c>
      <c r="H57" s="5">
        <v>1520</v>
      </c>
      <c r="I57" s="5">
        <v>475</v>
      </c>
      <c r="J57" s="5">
        <v>6.41</v>
      </c>
    </row>
    <row r="58" spans="1:10" x14ac:dyDescent="0.3">
      <c r="A58" s="5" t="s">
        <v>311</v>
      </c>
      <c r="B58" s="3">
        <v>1226</v>
      </c>
      <c r="C58" s="3">
        <v>119</v>
      </c>
      <c r="D58" s="3">
        <v>7</v>
      </c>
      <c r="E58" s="3">
        <v>14712</v>
      </c>
      <c r="F58" s="3">
        <v>14049</v>
      </c>
      <c r="G58" s="3">
        <v>123</v>
      </c>
      <c r="H58" s="5">
        <v>557</v>
      </c>
      <c r="I58" s="5">
        <v>360</v>
      </c>
      <c r="J58" s="5">
        <v>8.02</v>
      </c>
    </row>
    <row r="59" spans="1:10" x14ac:dyDescent="0.3">
      <c r="A59" s="5" t="s">
        <v>316</v>
      </c>
      <c r="B59" s="3">
        <v>2946</v>
      </c>
      <c r="C59" s="3">
        <v>498</v>
      </c>
      <c r="D59" s="3">
        <v>367</v>
      </c>
      <c r="E59" s="3">
        <v>29460</v>
      </c>
      <c r="F59" s="3">
        <v>28527</v>
      </c>
      <c r="G59" s="3">
        <v>60</v>
      </c>
      <c r="H59" s="5">
        <v>728</v>
      </c>
      <c r="I59" s="5">
        <v>395</v>
      </c>
      <c r="J59" s="5">
        <v>3.86</v>
      </c>
    </row>
    <row r="60" spans="1:10" x14ac:dyDescent="0.3">
      <c r="A60" s="5" t="s">
        <v>319</v>
      </c>
      <c r="B60" s="3">
        <v>2825</v>
      </c>
      <c r="C60" s="3">
        <v>535</v>
      </c>
      <c r="D60" s="3">
        <v>295</v>
      </c>
      <c r="E60" s="3">
        <v>45200</v>
      </c>
      <c r="F60" s="3">
        <v>44739</v>
      </c>
      <c r="G60" s="3">
        <v>169</v>
      </c>
      <c r="H60" s="5">
        <v>1592</v>
      </c>
      <c r="I60" s="5">
        <v>20</v>
      </c>
      <c r="J60" s="5">
        <v>9.09</v>
      </c>
    </row>
    <row r="61" spans="1:10" x14ac:dyDescent="0.3">
      <c r="A61" s="5" t="s">
        <v>324</v>
      </c>
      <c r="B61" s="3">
        <v>103</v>
      </c>
      <c r="C61" s="3">
        <v>770</v>
      </c>
      <c r="D61" s="3">
        <v>19</v>
      </c>
      <c r="E61" s="3">
        <v>1030</v>
      </c>
      <c r="F61" s="3">
        <v>410</v>
      </c>
      <c r="G61" s="3">
        <v>262</v>
      </c>
      <c r="H61" s="5">
        <v>1842</v>
      </c>
      <c r="I61" s="5">
        <v>414</v>
      </c>
      <c r="J61" s="5">
        <v>1.76</v>
      </c>
    </row>
    <row r="62" spans="1:10" x14ac:dyDescent="0.3">
      <c r="A62" s="5" t="s">
        <v>311</v>
      </c>
      <c r="B62" s="3">
        <v>2180</v>
      </c>
      <c r="C62" s="3">
        <v>263</v>
      </c>
      <c r="D62" s="3">
        <v>387</v>
      </c>
      <c r="E62" s="3">
        <v>30520</v>
      </c>
      <c r="F62" s="3">
        <v>30059</v>
      </c>
      <c r="G62" s="3">
        <v>174</v>
      </c>
      <c r="H62" s="5">
        <v>751</v>
      </c>
      <c r="I62" s="5">
        <v>491</v>
      </c>
      <c r="J62" s="5">
        <v>9.24</v>
      </c>
    </row>
    <row r="63" spans="1:10" x14ac:dyDescent="0.3">
      <c r="A63" s="5" t="s">
        <v>316</v>
      </c>
      <c r="B63" s="3">
        <v>904</v>
      </c>
      <c r="C63" s="3">
        <v>973</v>
      </c>
      <c r="D63" s="3">
        <v>63</v>
      </c>
      <c r="E63" s="3">
        <v>11752</v>
      </c>
      <c r="F63" s="3">
        <v>11580</v>
      </c>
      <c r="G63" s="3">
        <v>84</v>
      </c>
      <c r="H63" s="5">
        <v>1409</v>
      </c>
      <c r="I63" s="5">
        <v>309</v>
      </c>
      <c r="J63" s="5">
        <v>8.99</v>
      </c>
    </row>
    <row r="64" spans="1:10" x14ac:dyDescent="0.3">
      <c r="A64" s="5" t="s">
        <v>319</v>
      </c>
      <c r="B64" s="3">
        <v>4886</v>
      </c>
      <c r="C64" s="3">
        <v>983</v>
      </c>
      <c r="D64" s="3">
        <v>409</v>
      </c>
      <c r="E64" s="3">
        <v>43974</v>
      </c>
      <c r="F64" s="3">
        <v>43239</v>
      </c>
      <c r="G64" s="3">
        <v>65</v>
      </c>
      <c r="H64" s="5">
        <v>778</v>
      </c>
      <c r="I64" s="5">
        <v>401</v>
      </c>
      <c r="J64" s="5">
        <v>3.4</v>
      </c>
    </row>
    <row r="65" spans="1:10" x14ac:dyDescent="0.3">
      <c r="A65" s="5" t="s">
        <v>324</v>
      </c>
      <c r="B65" s="3">
        <v>53</v>
      </c>
      <c r="C65" s="3">
        <v>81</v>
      </c>
      <c r="D65" s="3">
        <v>379</v>
      </c>
      <c r="E65" s="3">
        <v>954</v>
      </c>
      <c r="F65" s="3">
        <v>7</v>
      </c>
      <c r="G65" s="3">
        <v>148</v>
      </c>
      <c r="H65" s="5">
        <v>443</v>
      </c>
      <c r="I65" s="5">
        <v>345</v>
      </c>
      <c r="J65" s="5">
        <v>9.1999999999999993</v>
      </c>
    </row>
    <row r="66" spans="1:10" x14ac:dyDescent="0.3">
      <c r="A66" s="5" t="s">
        <v>311</v>
      </c>
      <c r="B66" s="3">
        <v>4507</v>
      </c>
      <c r="C66" s="3">
        <v>217</v>
      </c>
      <c r="D66" s="3">
        <v>13</v>
      </c>
      <c r="E66" s="3">
        <v>90140</v>
      </c>
      <c r="F66" s="3">
        <v>89591</v>
      </c>
      <c r="G66" s="3">
        <v>125</v>
      </c>
      <c r="H66" s="5">
        <v>1472</v>
      </c>
      <c r="I66" s="5">
        <v>347</v>
      </c>
      <c r="J66" s="5">
        <v>8.59</v>
      </c>
    </row>
    <row r="67" spans="1:10" x14ac:dyDescent="0.3">
      <c r="A67" s="5" t="s">
        <v>316</v>
      </c>
      <c r="B67" s="3">
        <v>2878</v>
      </c>
      <c r="C67" s="3">
        <v>248</v>
      </c>
      <c r="D67" s="3">
        <v>416</v>
      </c>
      <c r="E67" s="3">
        <v>43170</v>
      </c>
      <c r="F67" s="3">
        <v>42667</v>
      </c>
      <c r="G67" s="3">
        <v>75</v>
      </c>
      <c r="H67" s="5">
        <v>123</v>
      </c>
      <c r="I67" s="5">
        <v>155</v>
      </c>
      <c r="J67" s="5">
        <v>3.5</v>
      </c>
    </row>
    <row r="68" spans="1:10" x14ac:dyDescent="0.3">
      <c r="A68" s="5" t="s">
        <v>319</v>
      </c>
      <c r="B68" s="3">
        <v>1881</v>
      </c>
      <c r="C68" s="3">
        <v>501</v>
      </c>
      <c r="D68" s="3">
        <v>99</v>
      </c>
      <c r="E68" s="3">
        <v>20691</v>
      </c>
      <c r="F68" s="3">
        <v>19987</v>
      </c>
      <c r="G68" s="3">
        <v>289</v>
      </c>
      <c r="H68" s="5">
        <v>817</v>
      </c>
      <c r="I68" s="5">
        <v>151</v>
      </c>
      <c r="J68" s="5">
        <v>2.36</v>
      </c>
    </row>
    <row r="69" spans="1:10" x14ac:dyDescent="0.3">
      <c r="A69" s="5" t="s">
        <v>324</v>
      </c>
      <c r="B69" s="3">
        <v>432</v>
      </c>
      <c r="C69" s="3">
        <v>171</v>
      </c>
      <c r="D69" s="3">
        <v>280</v>
      </c>
      <c r="E69" s="3">
        <v>3024</v>
      </c>
      <c r="F69" s="3">
        <v>2285</v>
      </c>
      <c r="G69" s="3">
        <v>184</v>
      </c>
      <c r="H69" s="5">
        <v>198</v>
      </c>
      <c r="I69" s="5">
        <v>217</v>
      </c>
      <c r="J69" s="5">
        <v>7.36</v>
      </c>
    </row>
    <row r="70" spans="1:10" x14ac:dyDescent="0.3">
      <c r="A70" s="5" t="s">
        <v>311</v>
      </c>
      <c r="B70" s="3">
        <v>4712</v>
      </c>
      <c r="C70" s="3">
        <v>568</v>
      </c>
      <c r="D70" s="3">
        <v>127</v>
      </c>
      <c r="E70" s="3">
        <v>84816</v>
      </c>
      <c r="F70" s="3">
        <v>84691</v>
      </c>
      <c r="G70" s="3">
        <v>100</v>
      </c>
      <c r="H70" s="5">
        <v>1911</v>
      </c>
      <c r="I70" s="5">
        <v>231</v>
      </c>
      <c r="J70" s="5">
        <v>8.5500000000000007</v>
      </c>
    </row>
    <row r="71" spans="1:10" x14ac:dyDescent="0.3">
      <c r="A71" s="5" t="s">
        <v>316</v>
      </c>
      <c r="B71" s="3">
        <v>2610</v>
      </c>
      <c r="C71" s="3">
        <v>126</v>
      </c>
      <c r="D71" s="3">
        <v>288</v>
      </c>
      <c r="E71" s="3">
        <v>15660</v>
      </c>
      <c r="F71" s="3">
        <v>15145</v>
      </c>
      <c r="G71" s="3">
        <v>73</v>
      </c>
      <c r="H71" s="5">
        <v>1218</v>
      </c>
      <c r="I71" s="5">
        <v>212</v>
      </c>
      <c r="J71" s="5">
        <v>8.1300000000000008</v>
      </c>
    </row>
    <row r="72" spans="1:10" x14ac:dyDescent="0.3">
      <c r="A72" s="5" t="s">
        <v>319</v>
      </c>
      <c r="B72" s="3">
        <v>1292</v>
      </c>
      <c r="C72" s="3">
        <v>626</v>
      </c>
      <c r="D72" s="3">
        <v>496</v>
      </c>
      <c r="E72" s="3">
        <v>25840</v>
      </c>
      <c r="F72" s="3">
        <v>24916</v>
      </c>
      <c r="G72" s="3">
        <v>149</v>
      </c>
      <c r="H72" s="5">
        <v>1433</v>
      </c>
      <c r="I72" s="5">
        <v>408</v>
      </c>
      <c r="J72" s="5">
        <v>3.3</v>
      </c>
    </row>
    <row r="73" spans="1:10" x14ac:dyDescent="0.3">
      <c r="A73" s="5" t="s">
        <v>324</v>
      </c>
      <c r="B73" s="3">
        <v>199</v>
      </c>
      <c r="C73" s="3">
        <v>772</v>
      </c>
      <c r="D73" s="3">
        <v>400</v>
      </c>
      <c r="E73" s="3">
        <v>3582</v>
      </c>
      <c r="F73" s="3">
        <v>2988</v>
      </c>
      <c r="G73" s="3">
        <v>43</v>
      </c>
      <c r="H73" s="5">
        <v>250</v>
      </c>
      <c r="I73" s="5">
        <v>429</v>
      </c>
      <c r="J73" s="5">
        <v>1.77</v>
      </c>
    </row>
    <row r="74" spans="1:10" x14ac:dyDescent="0.3">
      <c r="A74" s="5" t="s">
        <v>311</v>
      </c>
      <c r="B74" s="3">
        <v>2551</v>
      </c>
      <c r="C74" s="3">
        <v>915</v>
      </c>
      <c r="D74" s="3">
        <v>205</v>
      </c>
      <c r="E74" s="3">
        <v>30612</v>
      </c>
      <c r="F74" s="3">
        <v>30360</v>
      </c>
      <c r="G74" s="3">
        <v>227</v>
      </c>
      <c r="H74" s="5">
        <v>752</v>
      </c>
      <c r="I74" s="5">
        <v>153</v>
      </c>
      <c r="J74" s="5">
        <v>2.09</v>
      </c>
    </row>
    <row r="75" spans="1:10" x14ac:dyDescent="0.3">
      <c r="A75" s="5" t="s">
        <v>316</v>
      </c>
      <c r="B75" s="3">
        <v>296</v>
      </c>
      <c r="C75" s="3">
        <v>60</v>
      </c>
      <c r="D75" s="3">
        <v>141</v>
      </c>
      <c r="E75" s="3">
        <v>5624</v>
      </c>
      <c r="F75" s="3">
        <v>5239</v>
      </c>
      <c r="G75" s="3">
        <v>88</v>
      </c>
      <c r="H75" s="5">
        <v>1918</v>
      </c>
      <c r="I75" s="5">
        <v>212</v>
      </c>
      <c r="J75" s="5">
        <v>7.36</v>
      </c>
    </row>
    <row r="76" spans="1:10" x14ac:dyDescent="0.3">
      <c r="A76" s="5" t="s">
        <v>319</v>
      </c>
      <c r="B76" s="3">
        <v>4126</v>
      </c>
      <c r="C76" s="3">
        <v>426</v>
      </c>
      <c r="D76" s="3">
        <v>486</v>
      </c>
      <c r="E76" s="3">
        <v>78394</v>
      </c>
      <c r="F76" s="3">
        <v>77798</v>
      </c>
      <c r="G76" s="3">
        <v>88</v>
      </c>
      <c r="H76" s="5">
        <v>1939</v>
      </c>
      <c r="I76" s="5">
        <v>67</v>
      </c>
      <c r="J76" s="5">
        <v>6.25</v>
      </c>
    </row>
    <row r="77" spans="1:10" x14ac:dyDescent="0.3">
      <c r="A77" s="5" t="s">
        <v>324</v>
      </c>
      <c r="B77" s="3">
        <v>1855</v>
      </c>
      <c r="C77" s="3">
        <v>200</v>
      </c>
      <c r="D77" s="3">
        <v>174</v>
      </c>
      <c r="E77" s="3">
        <v>16695</v>
      </c>
      <c r="F77" s="3">
        <v>16330</v>
      </c>
      <c r="G77" s="3">
        <v>123</v>
      </c>
      <c r="H77" s="5">
        <v>1929</v>
      </c>
      <c r="I77" s="5">
        <v>267</v>
      </c>
      <c r="J77" s="5">
        <v>1.75</v>
      </c>
    </row>
    <row r="78" spans="1:10" x14ac:dyDescent="0.3">
      <c r="A78" s="5" t="s">
        <v>311</v>
      </c>
      <c r="B78" s="3">
        <v>1674</v>
      </c>
      <c r="C78" s="3">
        <v>929</v>
      </c>
      <c r="D78" s="3">
        <v>37</v>
      </c>
      <c r="E78" s="3">
        <v>21762</v>
      </c>
      <c r="F78" s="3">
        <v>20998</v>
      </c>
      <c r="G78" s="3">
        <v>255</v>
      </c>
      <c r="H78" s="5">
        <v>437</v>
      </c>
      <c r="I78" s="5">
        <v>330</v>
      </c>
      <c r="J78" s="5">
        <v>4.97</v>
      </c>
    </row>
    <row r="79" spans="1:10" x14ac:dyDescent="0.3">
      <c r="A79" s="5" t="s">
        <v>316</v>
      </c>
      <c r="B79" s="3">
        <v>1121</v>
      </c>
      <c r="C79" s="3">
        <v>135</v>
      </c>
      <c r="D79" s="3">
        <v>18</v>
      </c>
      <c r="E79" s="3">
        <v>15694</v>
      </c>
      <c r="F79" s="3">
        <v>14957</v>
      </c>
      <c r="G79" s="3">
        <v>99</v>
      </c>
      <c r="H79" s="5">
        <v>307</v>
      </c>
      <c r="I79" s="5">
        <v>189</v>
      </c>
      <c r="J79" s="5">
        <v>9.3000000000000007</v>
      </c>
    </row>
    <row r="80" spans="1:10" x14ac:dyDescent="0.3">
      <c r="A80" s="5" t="s">
        <v>319</v>
      </c>
      <c r="B80" s="3">
        <v>1249</v>
      </c>
      <c r="C80" s="3">
        <v>116</v>
      </c>
      <c r="D80" s="3">
        <v>420</v>
      </c>
      <c r="E80" s="3">
        <v>8743</v>
      </c>
      <c r="F80" s="3">
        <v>8538</v>
      </c>
      <c r="G80" s="3">
        <v>63</v>
      </c>
      <c r="H80" s="5">
        <v>1527</v>
      </c>
      <c r="I80" s="5">
        <v>303</v>
      </c>
      <c r="J80" s="5">
        <v>8.9</v>
      </c>
    </row>
    <row r="81" spans="1:10" x14ac:dyDescent="0.3">
      <c r="A81" s="5" t="s">
        <v>324</v>
      </c>
      <c r="B81" s="3">
        <v>954</v>
      </c>
      <c r="C81" s="3">
        <v>324</v>
      </c>
      <c r="D81" s="3">
        <v>288</v>
      </c>
      <c r="E81" s="3">
        <v>19080</v>
      </c>
      <c r="F81" s="3">
        <v>18859</v>
      </c>
      <c r="G81" s="3">
        <v>21</v>
      </c>
      <c r="H81" s="5">
        <v>643</v>
      </c>
      <c r="I81" s="5">
        <v>358</v>
      </c>
      <c r="J81" s="5">
        <v>3.88</v>
      </c>
    </row>
    <row r="82" spans="1:10" x14ac:dyDescent="0.3">
      <c r="A82" s="5" t="s">
        <v>311</v>
      </c>
      <c r="B82" s="3">
        <v>3068</v>
      </c>
      <c r="C82" s="3">
        <v>137</v>
      </c>
      <c r="D82" s="3">
        <v>329</v>
      </c>
      <c r="E82" s="3">
        <v>39884</v>
      </c>
      <c r="F82" s="3">
        <v>39404</v>
      </c>
      <c r="G82" s="3">
        <v>266</v>
      </c>
      <c r="H82" s="5">
        <v>201</v>
      </c>
      <c r="I82" s="5">
        <v>221</v>
      </c>
      <c r="J82" s="5">
        <v>5.9</v>
      </c>
    </row>
    <row r="83" spans="1:10" x14ac:dyDescent="0.3">
      <c r="A83" s="5" t="s">
        <v>316</v>
      </c>
      <c r="B83" s="3">
        <v>2103</v>
      </c>
      <c r="C83" s="3">
        <v>892</v>
      </c>
      <c r="D83" s="3">
        <v>103</v>
      </c>
      <c r="E83" s="3">
        <v>39957</v>
      </c>
      <c r="F83" s="3">
        <v>39466</v>
      </c>
      <c r="G83" s="3">
        <v>28</v>
      </c>
      <c r="H83" s="5">
        <v>414</v>
      </c>
      <c r="I83" s="5">
        <v>47</v>
      </c>
      <c r="J83" s="5">
        <v>1.53</v>
      </c>
    </row>
    <row r="84" spans="1:10" x14ac:dyDescent="0.3">
      <c r="A84" s="5" t="s">
        <v>319</v>
      </c>
      <c r="B84" s="3">
        <v>1816</v>
      </c>
      <c r="C84" s="3">
        <v>29</v>
      </c>
      <c r="D84" s="3">
        <v>41</v>
      </c>
      <c r="E84" s="3">
        <v>19976</v>
      </c>
      <c r="F84" s="3">
        <v>19262</v>
      </c>
      <c r="G84" s="3">
        <v>283</v>
      </c>
      <c r="H84" s="5">
        <v>703</v>
      </c>
      <c r="I84" s="5">
        <v>441</v>
      </c>
      <c r="J84" s="5">
        <v>6.5</v>
      </c>
    </row>
    <row r="85" spans="1:10" x14ac:dyDescent="0.3">
      <c r="A85" s="5" t="s">
        <v>324</v>
      </c>
      <c r="B85" s="3">
        <v>725</v>
      </c>
      <c r="C85" s="3">
        <v>88</v>
      </c>
      <c r="D85" s="3">
        <v>428</v>
      </c>
      <c r="E85" s="3">
        <v>14500</v>
      </c>
      <c r="F85" s="3">
        <v>13637</v>
      </c>
      <c r="G85" s="3">
        <v>200</v>
      </c>
      <c r="H85" s="5">
        <v>508</v>
      </c>
      <c r="I85" s="5">
        <v>69</v>
      </c>
      <c r="J85" s="5">
        <v>3.16</v>
      </c>
    </row>
    <row r="86" spans="1:10" x14ac:dyDescent="0.3">
      <c r="A86" s="5" t="s">
        <v>311</v>
      </c>
      <c r="B86" s="3">
        <v>1094</v>
      </c>
      <c r="C86" s="3">
        <v>472</v>
      </c>
      <c r="D86" s="3">
        <v>21</v>
      </c>
      <c r="E86" s="3">
        <v>9846</v>
      </c>
      <c r="F86" s="3">
        <v>9609</v>
      </c>
      <c r="G86" s="3">
        <v>112</v>
      </c>
      <c r="H86" s="5">
        <v>697</v>
      </c>
      <c r="I86" s="5">
        <v>61</v>
      </c>
      <c r="J86" s="5">
        <v>8.25</v>
      </c>
    </row>
    <row r="87" spans="1:10" x14ac:dyDescent="0.3">
      <c r="A87" s="5" t="s">
        <v>316</v>
      </c>
      <c r="B87" s="3">
        <v>1841</v>
      </c>
      <c r="C87" s="3">
        <v>851</v>
      </c>
      <c r="D87" s="3">
        <v>342</v>
      </c>
      <c r="E87" s="3">
        <v>34979</v>
      </c>
      <c r="F87" s="3">
        <v>34154</v>
      </c>
      <c r="G87" s="3">
        <v>255</v>
      </c>
      <c r="H87" s="5">
        <v>1707</v>
      </c>
      <c r="I87" s="5">
        <v>223</v>
      </c>
      <c r="J87" s="5">
        <v>5.41</v>
      </c>
    </row>
    <row r="88" spans="1:10" x14ac:dyDescent="0.3">
      <c r="A88" s="5" t="s">
        <v>319</v>
      </c>
      <c r="B88" s="3">
        <v>4177</v>
      </c>
      <c r="C88" s="3">
        <v>569</v>
      </c>
      <c r="D88" s="3">
        <v>55</v>
      </c>
      <c r="E88" s="3">
        <v>25062</v>
      </c>
      <c r="F88" s="3">
        <v>24847</v>
      </c>
      <c r="G88" s="3">
        <v>230</v>
      </c>
      <c r="H88" s="5">
        <v>642</v>
      </c>
      <c r="I88" s="5">
        <v>66</v>
      </c>
      <c r="J88" s="5">
        <v>5.85</v>
      </c>
    </row>
    <row r="89" spans="1:10" x14ac:dyDescent="0.3">
      <c r="A89" s="5" t="s">
        <v>324</v>
      </c>
      <c r="B89" s="3">
        <v>3428</v>
      </c>
      <c r="C89" s="3">
        <v>305</v>
      </c>
      <c r="D89" s="3">
        <v>85</v>
      </c>
      <c r="E89" s="3">
        <v>58276</v>
      </c>
      <c r="F89" s="3">
        <v>58052</v>
      </c>
      <c r="G89" s="3">
        <v>242</v>
      </c>
      <c r="H89" s="5">
        <v>859</v>
      </c>
      <c r="I89" s="5">
        <v>473</v>
      </c>
      <c r="J89" s="5">
        <v>4.46</v>
      </c>
    </row>
    <row r="90" spans="1:10" x14ac:dyDescent="0.3">
      <c r="A90" s="5" t="s">
        <v>311</v>
      </c>
      <c r="B90" s="3">
        <v>1436</v>
      </c>
      <c r="C90" s="3">
        <v>765</v>
      </c>
      <c r="D90" s="3">
        <v>496</v>
      </c>
      <c r="E90" s="3">
        <v>12924</v>
      </c>
      <c r="F90" s="3">
        <v>12701</v>
      </c>
      <c r="G90" s="3">
        <v>197</v>
      </c>
      <c r="H90" s="5">
        <v>191</v>
      </c>
      <c r="I90" s="5">
        <v>154</v>
      </c>
      <c r="J90" s="5">
        <v>5.22</v>
      </c>
    </row>
    <row r="91" spans="1:10" x14ac:dyDescent="0.3">
      <c r="A91" s="5" t="s">
        <v>316</v>
      </c>
      <c r="B91" s="3">
        <v>302</v>
      </c>
      <c r="C91" s="3">
        <v>47</v>
      </c>
      <c r="D91" s="3">
        <v>430</v>
      </c>
      <c r="E91" s="3">
        <v>5738</v>
      </c>
      <c r="F91" s="3">
        <v>4890</v>
      </c>
      <c r="G91" s="3">
        <v>25</v>
      </c>
      <c r="H91" s="5">
        <v>1814</v>
      </c>
      <c r="I91" s="5">
        <v>157</v>
      </c>
      <c r="J91" s="5">
        <v>1.99</v>
      </c>
    </row>
    <row r="92" spans="1:10" x14ac:dyDescent="0.3">
      <c r="A92" s="5" t="s">
        <v>319</v>
      </c>
      <c r="B92" s="3">
        <v>2214</v>
      </c>
      <c r="C92" s="3">
        <v>249</v>
      </c>
      <c r="D92" s="3">
        <v>152</v>
      </c>
      <c r="E92" s="3">
        <v>15498</v>
      </c>
      <c r="F92" s="3">
        <v>14800</v>
      </c>
      <c r="G92" s="3">
        <v>180</v>
      </c>
      <c r="H92" s="5">
        <v>1466</v>
      </c>
      <c r="I92" s="5">
        <v>69</v>
      </c>
      <c r="J92" s="5">
        <v>6.85</v>
      </c>
    </row>
    <row r="93" spans="1:10" x14ac:dyDescent="0.3">
      <c r="A93" s="5" t="s">
        <v>324</v>
      </c>
      <c r="B93" s="3">
        <v>3861</v>
      </c>
      <c r="C93" s="3">
        <v>960</v>
      </c>
      <c r="D93" s="3">
        <v>101</v>
      </c>
      <c r="E93" s="3">
        <v>69498</v>
      </c>
      <c r="F93" s="3">
        <v>68817</v>
      </c>
      <c r="G93" s="3">
        <v>297</v>
      </c>
      <c r="H93" s="5">
        <v>947</v>
      </c>
      <c r="I93" s="5">
        <v>407</v>
      </c>
      <c r="J93" s="5">
        <v>3.32</v>
      </c>
    </row>
    <row r="94" spans="1:10" x14ac:dyDescent="0.3">
      <c r="A94" s="5" t="s">
        <v>311</v>
      </c>
      <c r="B94" s="3">
        <v>1263</v>
      </c>
      <c r="C94" s="3">
        <v>397</v>
      </c>
      <c r="D94" s="3">
        <v>357</v>
      </c>
      <c r="E94" s="3">
        <v>25260</v>
      </c>
      <c r="F94" s="3">
        <v>24615</v>
      </c>
      <c r="G94" s="3">
        <v>137</v>
      </c>
      <c r="H94" s="5">
        <v>1821</v>
      </c>
      <c r="I94" s="5">
        <v>218</v>
      </c>
      <c r="J94" s="5">
        <v>5.68</v>
      </c>
    </row>
    <row r="95" spans="1:10" x14ac:dyDescent="0.3">
      <c r="A95" s="5" t="s">
        <v>316</v>
      </c>
      <c r="B95" s="3">
        <v>3801</v>
      </c>
      <c r="C95" s="3">
        <v>967</v>
      </c>
      <c r="D95" s="3">
        <v>401</v>
      </c>
      <c r="E95" s="3">
        <v>38010</v>
      </c>
      <c r="F95" s="3">
        <v>37625</v>
      </c>
      <c r="G95" s="3">
        <v>236</v>
      </c>
      <c r="H95" s="5">
        <v>1507</v>
      </c>
      <c r="I95" s="5">
        <v>463</v>
      </c>
      <c r="J95" s="5">
        <v>6.08</v>
      </c>
    </row>
    <row r="96" spans="1:10" x14ac:dyDescent="0.3">
      <c r="A96" s="5" t="s">
        <v>319</v>
      </c>
      <c r="B96" s="3">
        <v>1431</v>
      </c>
      <c r="C96" s="3">
        <v>951</v>
      </c>
      <c r="D96" s="3">
        <v>26</v>
      </c>
      <c r="E96" s="3">
        <v>8586</v>
      </c>
      <c r="F96" s="3">
        <v>8396</v>
      </c>
      <c r="G96" s="3">
        <v>150</v>
      </c>
      <c r="H96" s="5">
        <v>1075</v>
      </c>
      <c r="I96" s="5">
        <v>173</v>
      </c>
      <c r="J96" s="5">
        <v>4.66</v>
      </c>
    </row>
    <row r="97" spans="1:10" x14ac:dyDescent="0.3">
      <c r="A97" s="5" t="s">
        <v>324</v>
      </c>
      <c r="B97" s="3">
        <v>2647</v>
      </c>
      <c r="C97" s="3">
        <v>304</v>
      </c>
      <c r="D97" s="3">
        <v>170</v>
      </c>
      <c r="E97" s="3">
        <v>18529</v>
      </c>
      <c r="F97" s="3">
        <v>17841</v>
      </c>
      <c r="G97" s="3">
        <v>46</v>
      </c>
      <c r="H97" s="5">
        <v>171</v>
      </c>
      <c r="I97" s="5">
        <v>277</v>
      </c>
      <c r="J97" s="5">
        <v>8.6999999999999993</v>
      </c>
    </row>
    <row r="98" spans="1:10" x14ac:dyDescent="0.3">
      <c r="A98" s="5" t="s">
        <v>311</v>
      </c>
      <c r="B98" s="3">
        <v>3182</v>
      </c>
      <c r="C98" s="3">
        <v>559</v>
      </c>
      <c r="D98" s="3">
        <v>160</v>
      </c>
      <c r="E98" s="3">
        <v>57276</v>
      </c>
      <c r="F98" s="3">
        <v>56890</v>
      </c>
      <c r="G98" s="3">
        <v>163</v>
      </c>
      <c r="H98" s="5">
        <v>1487</v>
      </c>
      <c r="I98" s="5">
        <v>337</v>
      </c>
      <c r="J98" s="5">
        <v>2.46</v>
      </c>
    </row>
    <row r="99" spans="1:10" x14ac:dyDescent="0.3">
      <c r="A99" s="5" t="s">
        <v>316</v>
      </c>
      <c r="B99" s="3">
        <v>1238</v>
      </c>
      <c r="C99" s="3">
        <v>366</v>
      </c>
      <c r="D99" s="3">
        <v>444</v>
      </c>
      <c r="E99" s="3">
        <v>19808</v>
      </c>
      <c r="F99" s="3">
        <v>19334</v>
      </c>
      <c r="G99" s="3">
        <v>123</v>
      </c>
      <c r="H99" s="5">
        <v>454</v>
      </c>
      <c r="I99" s="5">
        <v>105</v>
      </c>
      <c r="J99" s="5">
        <v>7.97</v>
      </c>
    </row>
    <row r="100" spans="1:10" x14ac:dyDescent="0.3">
      <c r="A100" s="5" t="s">
        <v>319</v>
      </c>
      <c r="B100" s="3">
        <v>4739</v>
      </c>
      <c r="C100" s="3">
        <v>527</v>
      </c>
      <c r="D100" s="3">
        <v>135</v>
      </c>
      <c r="E100" s="3">
        <v>61607</v>
      </c>
      <c r="F100" s="3">
        <v>61333</v>
      </c>
      <c r="G100" s="3">
        <v>36</v>
      </c>
      <c r="H100" s="5">
        <v>187</v>
      </c>
      <c r="I100" s="5">
        <v>236</v>
      </c>
      <c r="J100" s="5">
        <v>9.41</v>
      </c>
    </row>
    <row r="101" spans="1:10" x14ac:dyDescent="0.3">
      <c r="A101" s="5" t="s">
        <v>324</v>
      </c>
      <c r="B101" s="3">
        <v>1575</v>
      </c>
      <c r="C101" s="3">
        <v>771</v>
      </c>
      <c r="D101" s="3">
        <v>486</v>
      </c>
      <c r="E101" s="3">
        <v>25200</v>
      </c>
      <c r="F101" s="3">
        <v>24826</v>
      </c>
      <c r="G101" s="3">
        <v>17</v>
      </c>
      <c r="H101" s="5">
        <v>513</v>
      </c>
      <c r="I101" s="5">
        <v>441</v>
      </c>
      <c r="J101" s="5">
        <v>2.68</v>
      </c>
    </row>
    <row r="102" spans="1:10" x14ac:dyDescent="0.3">
      <c r="A102" s="5" t="s">
        <v>311</v>
      </c>
      <c r="B102" s="3">
        <v>4171</v>
      </c>
      <c r="C102" s="3">
        <v>548</v>
      </c>
      <c r="D102" s="3">
        <v>86</v>
      </c>
      <c r="E102" s="3">
        <v>66736</v>
      </c>
      <c r="F102" s="3">
        <v>66634</v>
      </c>
      <c r="G102" s="3">
        <v>173</v>
      </c>
      <c r="H102" s="5">
        <v>628</v>
      </c>
      <c r="I102" s="5">
        <v>183</v>
      </c>
      <c r="J102" s="5">
        <v>7.32</v>
      </c>
    </row>
    <row r="103" spans="1:10" x14ac:dyDescent="0.3">
      <c r="A103" s="5" t="s">
        <v>316</v>
      </c>
      <c r="B103" s="3">
        <v>1766</v>
      </c>
      <c r="C103" s="3">
        <v>92</v>
      </c>
      <c r="D103" s="3">
        <v>424</v>
      </c>
      <c r="E103" s="3">
        <v>24724</v>
      </c>
      <c r="F103" s="3">
        <v>24333</v>
      </c>
      <c r="G103" s="3">
        <v>52</v>
      </c>
      <c r="H103" s="5">
        <v>278</v>
      </c>
      <c r="I103" s="5">
        <v>218</v>
      </c>
      <c r="J103" s="5">
        <v>4.68</v>
      </c>
    </row>
    <row r="104" spans="1:10" x14ac:dyDescent="0.3">
      <c r="A104" s="5" t="s">
        <v>319</v>
      </c>
      <c r="B104" s="3">
        <v>4450</v>
      </c>
      <c r="C104" s="3">
        <v>983</v>
      </c>
      <c r="D104" s="3">
        <v>143</v>
      </c>
      <c r="E104" s="3">
        <v>75650</v>
      </c>
      <c r="F104" s="3">
        <v>75008</v>
      </c>
      <c r="G104" s="3">
        <v>12</v>
      </c>
      <c r="H104" s="5">
        <v>1854</v>
      </c>
      <c r="I104" s="5">
        <v>161</v>
      </c>
      <c r="J104" s="5">
        <v>5.17</v>
      </c>
    </row>
    <row r="105" spans="1:10" x14ac:dyDescent="0.3">
      <c r="A105" s="5" t="s">
        <v>324</v>
      </c>
      <c r="B105" s="3">
        <v>1000</v>
      </c>
      <c r="C105" s="3">
        <v>978</v>
      </c>
      <c r="D105" s="3">
        <v>162</v>
      </c>
      <c r="E105" s="3">
        <v>6000</v>
      </c>
      <c r="F105" s="3">
        <v>5221</v>
      </c>
      <c r="G105" s="3">
        <v>223</v>
      </c>
      <c r="H105" s="5">
        <v>1710</v>
      </c>
      <c r="I105" s="5">
        <v>378</v>
      </c>
      <c r="J105" s="5">
        <v>6.2</v>
      </c>
    </row>
    <row r="106" spans="1:10" x14ac:dyDescent="0.3">
      <c r="A106" s="5" t="s">
        <v>311</v>
      </c>
      <c r="B106" s="3">
        <v>3689</v>
      </c>
      <c r="C106" s="3">
        <v>48</v>
      </c>
      <c r="D106" s="3">
        <v>306</v>
      </c>
      <c r="E106" s="3">
        <v>40579</v>
      </c>
      <c r="F106" s="3">
        <v>39588</v>
      </c>
      <c r="G106" s="3">
        <v>212</v>
      </c>
      <c r="H106" s="5">
        <v>330</v>
      </c>
      <c r="I106" s="5">
        <v>232</v>
      </c>
      <c r="J106" s="5">
        <v>2.69</v>
      </c>
    </row>
    <row r="107" spans="1:10" x14ac:dyDescent="0.3">
      <c r="A107" s="5" t="s">
        <v>316</v>
      </c>
      <c r="B107" s="3">
        <v>3655</v>
      </c>
      <c r="C107" s="3">
        <v>568</v>
      </c>
      <c r="D107" s="3">
        <v>286</v>
      </c>
      <c r="E107" s="3">
        <v>32895</v>
      </c>
      <c r="F107" s="3">
        <v>32015</v>
      </c>
      <c r="G107" s="3">
        <v>199</v>
      </c>
      <c r="H107" s="5">
        <v>1293</v>
      </c>
      <c r="I107" s="5">
        <v>408</v>
      </c>
      <c r="J107" s="5">
        <v>8.9</v>
      </c>
    </row>
    <row r="108" spans="1:10" x14ac:dyDescent="0.3">
      <c r="A108" s="5" t="s">
        <v>319</v>
      </c>
      <c r="B108" s="3">
        <v>498</v>
      </c>
      <c r="C108" s="3">
        <v>38</v>
      </c>
      <c r="D108" s="3">
        <v>42</v>
      </c>
      <c r="E108" s="3">
        <v>4482</v>
      </c>
      <c r="F108" s="3">
        <v>3647</v>
      </c>
      <c r="G108" s="3">
        <v>32</v>
      </c>
      <c r="H108" s="5">
        <v>1696</v>
      </c>
      <c r="I108" s="5">
        <v>71</v>
      </c>
      <c r="J108" s="5">
        <v>3.79</v>
      </c>
    </row>
    <row r="109" spans="1:10" x14ac:dyDescent="0.3">
      <c r="A109" s="5" t="s">
        <v>324</v>
      </c>
      <c r="B109" s="3">
        <v>4619</v>
      </c>
      <c r="C109" s="3">
        <v>821</v>
      </c>
      <c r="D109" s="3">
        <v>499</v>
      </c>
      <c r="E109" s="3">
        <v>69285</v>
      </c>
      <c r="F109" s="3">
        <v>69141</v>
      </c>
      <c r="G109" s="3">
        <v>298</v>
      </c>
      <c r="H109" s="5">
        <v>1902</v>
      </c>
      <c r="I109" s="5">
        <v>196</v>
      </c>
      <c r="J109" s="5">
        <v>4.79</v>
      </c>
    </row>
    <row r="110" spans="1:10" x14ac:dyDescent="0.3">
      <c r="A110" s="5" t="s">
        <v>311</v>
      </c>
      <c r="B110" s="3">
        <v>4832</v>
      </c>
      <c r="C110" s="3">
        <v>893</v>
      </c>
      <c r="D110" s="3">
        <v>10</v>
      </c>
      <c r="E110" s="3">
        <v>91808</v>
      </c>
      <c r="F110" s="3">
        <v>91296</v>
      </c>
      <c r="G110" s="3">
        <v>182</v>
      </c>
      <c r="H110" s="5">
        <v>1441</v>
      </c>
      <c r="I110" s="5">
        <v>268</v>
      </c>
      <c r="J110" s="5">
        <v>6.37</v>
      </c>
    </row>
    <row r="111" spans="1:10" x14ac:dyDescent="0.3">
      <c r="A111" s="5" t="s">
        <v>316</v>
      </c>
      <c r="B111" s="3">
        <v>4050</v>
      </c>
      <c r="C111" s="3">
        <v>871</v>
      </c>
      <c r="D111" s="3">
        <v>347</v>
      </c>
      <c r="E111" s="3">
        <v>52650</v>
      </c>
      <c r="F111" s="3">
        <v>51755</v>
      </c>
      <c r="G111" s="3">
        <v>209</v>
      </c>
      <c r="H111" s="5">
        <v>452</v>
      </c>
      <c r="I111" s="5">
        <v>161</v>
      </c>
      <c r="J111" s="5">
        <v>2.65</v>
      </c>
    </row>
    <row r="112" spans="1:10" x14ac:dyDescent="0.3">
      <c r="A112" s="5" t="s">
        <v>319</v>
      </c>
      <c r="B112" s="3">
        <v>3649</v>
      </c>
      <c r="C112" s="3">
        <v>215</v>
      </c>
      <c r="D112" s="3">
        <v>413</v>
      </c>
      <c r="E112" s="3">
        <v>25543</v>
      </c>
      <c r="F112" s="3">
        <v>24963</v>
      </c>
      <c r="G112" s="3">
        <v>167</v>
      </c>
      <c r="H112" s="5">
        <v>1494</v>
      </c>
      <c r="I112" s="5">
        <v>375</v>
      </c>
      <c r="J112" s="5">
        <v>1.81</v>
      </c>
    </row>
    <row r="113" spans="1:10" x14ac:dyDescent="0.3">
      <c r="A113" s="5" t="s">
        <v>324</v>
      </c>
      <c r="B113" s="3">
        <v>3523</v>
      </c>
      <c r="C113" s="3">
        <v>753</v>
      </c>
      <c r="D113" s="3">
        <v>482</v>
      </c>
      <c r="E113" s="3">
        <v>38753</v>
      </c>
      <c r="F113" s="3">
        <v>38579</v>
      </c>
      <c r="G113" s="3">
        <v>270</v>
      </c>
      <c r="H113" s="5">
        <v>1514</v>
      </c>
      <c r="I113" s="5">
        <v>141</v>
      </c>
      <c r="J113" s="5">
        <v>7.47</v>
      </c>
    </row>
    <row r="114" spans="1:10" x14ac:dyDescent="0.3">
      <c r="A114" s="5" t="s">
        <v>311</v>
      </c>
      <c r="B114" s="3">
        <v>2719</v>
      </c>
      <c r="C114" s="3">
        <v>17</v>
      </c>
      <c r="D114" s="3">
        <v>285</v>
      </c>
      <c r="E114" s="3">
        <v>40785</v>
      </c>
      <c r="F114" s="3">
        <v>40281</v>
      </c>
      <c r="G114" s="3">
        <v>40</v>
      </c>
      <c r="H114" s="5">
        <v>1937</v>
      </c>
      <c r="I114" s="5">
        <v>210</v>
      </c>
      <c r="J114" s="5">
        <v>4.2</v>
      </c>
    </row>
    <row r="115" spans="1:10" x14ac:dyDescent="0.3">
      <c r="A115" s="5" t="s">
        <v>316</v>
      </c>
      <c r="B115" s="3">
        <v>1957</v>
      </c>
      <c r="C115" s="3">
        <v>877</v>
      </c>
      <c r="D115" s="3">
        <v>238</v>
      </c>
      <c r="E115" s="3">
        <v>17613</v>
      </c>
      <c r="F115" s="3">
        <v>16865</v>
      </c>
      <c r="G115" s="3">
        <v>297</v>
      </c>
      <c r="H115" s="5">
        <v>736</v>
      </c>
      <c r="I115" s="5">
        <v>163</v>
      </c>
      <c r="J115" s="5">
        <v>5.43</v>
      </c>
    </row>
    <row r="116" spans="1:10" x14ac:dyDescent="0.3">
      <c r="A116" s="5" t="s">
        <v>319</v>
      </c>
      <c r="B116" s="3">
        <v>4419</v>
      </c>
      <c r="C116" s="3">
        <v>236</v>
      </c>
      <c r="D116" s="3">
        <v>369</v>
      </c>
      <c r="E116" s="3">
        <v>44190</v>
      </c>
      <c r="F116" s="3">
        <v>43582</v>
      </c>
      <c r="G116" s="3">
        <v>10</v>
      </c>
      <c r="H116" s="5">
        <v>1502</v>
      </c>
      <c r="I116" s="5">
        <v>70</v>
      </c>
      <c r="J116" s="5">
        <v>3.32</v>
      </c>
    </row>
    <row r="117" spans="1:10" x14ac:dyDescent="0.3">
      <c r="A117" s="5" t="s">
        <v>324</v>
      </c>
      <c r="B117" s="3">
        <v>4000</v>
      </c>
      <c r="C117" s="3">
        <v>689</v>
      </c>
      <c r="D117" s="3">
        <v>488</v>
      </c>
      <c r="E117" s="3">
        <v>40000</v>
      </c>
      <c r="F117" s="3">
        <v>39569</v>
      </c>
      <c r="G117" s="3">
        <v>44</v>
      </c>
      <c r="H117" s="5">
        <v>1623</v>
      </c>
      <c r="I117" s="5">
        <v>246</v>
      </c>
      <c r="J117" s="5">
        <v>8.11</v>
      </c>
    </row>
    <row r="118" spans="1:10" x14ac:dyDescent="0.3">
      <c r="A118" s="5" t="s">
        <v>311</v>
      </c>
      <c r="B118" s="3">
        <v>2493</v>
      </c>
      <c r="C118" s="3">
        <v>97</v>
      </c>
      <c r="D118" s="3">
        <v>44</v>
      </c>
      <c r="E118" s="3">
        <v>42381</v>
      </c>
      <c r="F118" s="3">
        <v>41991</v>
      </c>
      <c r="G118" s="3">
        <v>242</v>
      </c>
      <c r="H118" s="5">
        <v>1592</v>
      </c>
      <c r="I118" s="5">
        <v>233</v>
      </c>
      <c r="J118" s="5">
        <v>6.66</v>
      </c>
    </row>
    <row r="119" spans="1:10" x14ac:dyDescent="0.3">
      <c r="A119" s="5" t="s">
        <v>316</v>
      </c>
      <c r="B119" s="3">
        <v>3704</v>
      </c>
      <c r="C119" s="3">
        <v>186</v>
      </c>
      <c r="D119" s="3">
        <v>458</v>
      </c>
      <c r="E119" s="3">
        <v>25928</v>
      </c>
      <c r="F119" s="3">
        <v>25081</v>
      </c>
      <c r="G119" s="3">
        <v>131</v>
      </c>
      <c r="H119" s="5">
        <v>1004</v>
      </c>
      <c r="I119" s="5">
        <v>128</v>
      </c>
      <c r="J119" s="5">
        <v>8.09</v>
      </c>
    </row>
    <row r="120" spans="1:10" x14ac:dyDescent="0.3">
      <c r="A120" s="5" t="s">
        <v>319</v>
      </c>
      <c r="B120" s="3">
        <v>1606</v>
      </c>
      <c r="C120" s="3">
        <v>451</v>
      </c>
      <c r="D120" s="3">
        <v>405</v>
      </c>
      <c r="E120" s="3">
        <v>20878</v>
      </c>
      <c r="F120" s="3">
        <v>20190</v>
      </c>
      <c r="G120" s="3">
        <v>219</v>
      </c>
      <c r="H120" s="5">
        <v>1092</v>
      </c>
      <c r="I120" s="5">
        <v>408</v>
      </c>
      <c r="J120" s="5">
        <v>8.44</v>
      </c>
    </row>
    <row r="121" spans="1:10" x14ac:dyDescent="0.3">
      <c r="A121" s="5" t="s">
        <v>324</v>
      </c>
      <c r="B121" s="3">
        <v>4551</v>
      </c>
      <c r="C121" s="3">
        <v>714</v>
      </c>
      <c r="D121" s="3">
        <v>207</v>
      </c>
      <c r="E121" s="3">
        <v>68265</v>
      </c>
      <c r="F121" s="3">
        <v>67754</v>
      </c>
      <c r="G121" s="3">
        <v>57</v>
      </c>
      <c r="H121" s="5">
        <v>1155</v>
      </c>
      <c r="I121" s="5">
        <v>425</v>
      </c>
      <c r="J121" s="5">
        <v>2.02</v>
      </c>
    </row>
    <row r="122" spans="1:10" x14ac:dyDescent="0.3">
      <c r="A122" s="5" t="s">
        <v>311</v>
      </c>
      <c r="B122" s="3">
        <v>1970</v>
      </c>
      <c r="C122" s="3">
        <v>675</v>
      </c>
      <c r="D122" s="3">
        <v>478</v>
      </c>
      <c r="E122" s="3">
        <v>9850</v>
      </c>
      <c r="F122" s="3">
        <v>8924</v>
      </c>
      <c r="G122" s="3">
        <v>117</v>
      </c>
      <c r="H122" s="5">
        <v>1137</v>
      </c>
      <c r="I122" s="5">
        <v>226</v>
      </c>
      <c r="J122" s="5">
        <v>7.74</v>
      </c>
    </row>
    <row r="123" spans="1:10" x14ac:dyDescent="0.3">
      <c r="A123" s="5" t="s">
        <v>316</v>
      </c>
      <c r="B123" s="3">
        <v>780</v>
      </c>
      <c r="C123" s="3">
        <v>928</v>
      </c>
      <c r="D123" s="3">
        <v>301</v>
      </c>
      <c r="E123" s="3">
        <v>8580</v>
      </c>
      <c r="F123" s="3">
        <v>8081</v>
      </c>
      <c r="G123" s="3">
        <v>91</v>
      </c>
      <c r="H123" s="5">
        <v>1900</v>
      </c>
      <c r="I123" s="5">
        <v>311</v>
      </c>
      <c r="J123" s="5">
        <v>2.89</v>
      </c>
    </row>
    <row r="124" spans="1:10" x14ac:dyDescent="0.3">
      <c r="A124" s="5" t="s">
        <v>319</v>
      </c>
      <c r="B124" s="3">
        <v>498</v>
      </c>
      <c r="C124" s="3">
        <v>701</v>
      </c>
      <c r="D124" s="3">
        <v>412</v>
      </c>
      <c r="E124" s="3">
        <v>4980</v>
      </c>
      <c r="F124" s="3">
        <v>4185</v>
      </c>
      <c r="G124" s="3">
        <v>185</v>
      </c>
      <c r="H124" s="5">
        <v>1814</v>
      </c>
      <c r="I124" s="5">
        <v>49</v>
      </c>
      <c r="J124" s="5">
        <v>1.76</v>
      </c>
    </row>
    <row r="125" spans="1:10" x14ac:dyDescent="0.3">
      <c r="A125" s="5" t="s">
        <v>324</v>
      </c>
      <c r="B125" s="3">
        <v>3432</v>
      </c>
      <c r="C125" s="3">
        <v>869</v>
      </c>
      <c r="D125" s="3">
        <v>123</v>
      </c>
      <c r="E125" s="3">
        <v>54912</v>
      </c>
      <c r="F125" s="3">
        <v>53916</v>
      </c>
      <c r="G125" s="3">
        <v>264</v>
      </c>
      <c r="H125" s="5">
        <v>1980</v>
      </c>
      <c r="I125" s="5">
        <v>204</v>
      </c>
      <c r="J125" s="5">
        <v>3.09</v>
      </c>
    </row>
    <row r="126" spans="1:10" x14ac:dyDescent="0.3">
      <c r="A126" s="5" t="s">
        <v>311</v>
      </c>
      <c r="B126" s="3">
        <v>4363</v>
      </c>
      <c r="C126" s="3">
        <v>649</v>
      </c>
      <c r="D126" s="3">
        <v>140</v>
      </c>
      <c r="E126" s="3">
        <v>21815</v>
      </c>
      <c r="F126" s="3">
        <v>21481</v>
      </c>
      <c r="G126" s="3">
        <v>157</v>
      </c>
      <c r="H126" s="5">
        <v>1786</v>
      </c>
      <c r="I126" s="5">
        <v>257</v>
      </c>
      <c r="J126" s="5">
        <v>4.68</v>
      </c>
    </row>
    <row r="127" spans="1:10" x14ac:dyDescent="0.3">
      <c r="A127" s="5" t="s">
        <v>316</v>
      </c>
      <c r="B127" s="3">
        <v>736</v>
      </c>
      <c r="C127" s="3">
        <v>771</v>
      </c>
      <c r="D127" s="3">
        <v>225</v>
      </c>
      <c r="E127" s="3">
        <v>5152</v>
      </c>
      <c r="F127" s="3">
        <v>4706</v>
      </c>
      <c r="G127" s="3">
        <v>19</v>
      </c>
      <c r="H127" s="5">
        <v>1495</v>
      </c>
      <c r="I127" s="5">
        <v>35</v>
      </c>
      <c r="J127" s="5">
        <v>4.4800000000000004</v>
      </c>
    </row>
    <row r="128" spans="1:10" x14ac:dyDescent="0.3">
      <c r="A128" s="5" t="s">
        <v>319</v>
      </c>
      <c r="B128" s="3">
        <v>3811</v>
      </c>
      <c r="C128" s="3">
        <v>866</v>
      </c>
      <c r="D128" s="3">
        <v>216</v>
      </c>
      <c r="E128" s="3">
        <v>34299</v>
      </c>
      <c r="F128" s="3">
        <v>34088</v>
      </c>
      <c r="G128" s="3">
        <v>233</v>
      </c>
      <c r="H128" s="5">
        <v>1013</v>
      </c>
      <c r="I128" s="5">
        <v>110</v>
      </c>
      <c r="J128" s="5">
        <v>5.3</v>
      </c>
    </row>
    <row r="129" spans="1:10" x14ac:dyDescent="0.3">
      <c r="A129" s="5" t="s">
        <v>324</v>
      </c>
      <c r="B129" s="3">
        <v>4158</v>
      </c>
      <c r="C129" s="3">
        <v>167</v>
      </c>
      <c r="D129" s="3">
        <v>241</v>
      </c>
      <c r="E129" s="3">
        <v>45738</v>
      </c>
      <c r="F129" s="3">
        <v>45183</v>
      </c>
      <c r="G129" s="3">
        <v>142</v>
      </c>
      <c r="H129" s="5">
        <v>816</v>
      </c>
      <c r="I129" s="5">
        <v>196</v>
      </c>
      <c r="J129" s="5">
        <v>8.1999999999999993</v>
      </c>
    </row>
    <row r="130" spans="1:10" x14ac:dyDescent="0.3">
      <c r="A130" s="5" t="s">
        <v>311</v>
      </c>
      <c r="B130" s="3">
        <v>3452</v>
      </c>
      <c r="C130" s="3">
        <v>652</v>
      </c>
      <c r="D130" s="3">
        <v>442</v>
      </c>
      <c r="E130" s="3">
        <v>65588</v>
      </c>
      <c r="F130" s="3">
        <v>65049</v>
      </c>
      <c r="G130" s="3">
        <v>158</v>
      </c>
      <c r="H130" s="5">
        <v>1633</v>
      </c>
      <c r="I130" s="5">
        <v>445</v>
      </c>
      <c r="J130" s="5">
        <v>2.2200000000000002</v>
      </c>
    </row>
    <row r="131" spans="1:10" x14ac:dyDescent="0.3">
      <c r="A131" s="5" t="s">
        <v>316</v>
      </c>
      <c r="B131" s="3">
        <v>3092</v>
      </c>
      <c r="C131" s="3">
        <v>106</v>
      </c>
      <c r="D131" s="3">
        <v>291</v>
      </c>
      <c r="E131" s="3">
        <v>27828</v>
      </c>
      <c r="F131" s="3">
        <v>27217</v>
      </c>
      <c r="G131" s="3">
        <v>102</v>
      </c>
      <c r="H131" s="5">
        <v>891</v>
      </c>
      <c r="I131" s="5">
        <v>45</v>
      </c>
      <c r="J131" s="5">
        <v>8.33</v>
      </c>
    </row>
    <row r="132" spans="1:10" x14ac:dyDescent="0.3">
      <c r="A132" s="5" t="s">
        <v>319</v>
      </c>
      <c r="B132" s="3">
        <v>2147</v>
      </c>
      <c r="C132" s="3">
        <v>430</v>
      </c>
      <c r="D132" s="3">
        <v>393</v>
      </c>
      <c r="E132" s="3">
        <v>17176</v>
      </c>
      <c r="F132" s="3">
        <v>16483</v>
      </c>
      <c r="G132" s="3">
        <v>170</v>
      </c>
      <c r="H132" s="5">
        <v>1855</v>
      </c>
      <c r="I132" s="5">
        <v>133</v>
      </c>
      <c r="J132" s="5">
        <v>3.3</v>
      </c>
    </row>
    <row r="133" spans="1:10" x14ac:dyDescent="0.3">
      <c r="A133" s="5" t="s">
        <v>324</v>
      </c>
      <c r="B133" s="3">
        <v>2936</v>
      </c>
      <c r="C133" s="3">
        <v>439</v>
      </c>
      <c r="D133" s="3">
        <v>44</v>
      </c>
      <c r="E133" s="3">
        <v>38168</v>
      </c>
      <c r="F133" s="3">
        <v>37571</v>
      </c>
      <c r="G133" s="3">
        <v>22</v>
      </c>
      <c r="H133" s="5">
        <v>651</v>
      </c>
      <c r="I133" s="5">
        <v>353</v>
      </c>
      <c r="J133" s="5">
        <v>5.61</v>
      </c>
    </row>
    <row r="134" spans="1:10" x14ac:dyDescent="0.3">
      <c r="A134" s="5" t="s">
        <v>311</v>
      </c>
      <c r="B134" s="3">
        <v>4840</v>
      </c>
      <c r="C134" s="3">
        <v>658</v>
      </c>
      <c r="D134" s="3">
        <v>211</v>
      </c>
      <c r="E134" s="3">
        <v>43560</v>
      </c>
      <c r="F134" s="3">
        <v>43225</v>
      </c>
      <c r="G134" s="3">
        <v>57</v>
      </c>
      <c r="H134" s="5">
        <v>118</v>
      </c>
      <c r="I134" s="5">
        <v>262</v>
      </c>
      <c r="J134" s="5">
        <v>2.56</v>
      </c>
    </row>
    <row r="135" spans="1:10" x14ac:dyDescent="0.3">
      <c r="A135" s="5" t="s">
        <v>316</v>
      </c>
      <c r="B135" s="3">
        <v>1947</v>
      </c>
      <c r="C135" s="3">
        <v>842</v>
      </c>
      <c r="D135" s="3">
        <v>101</v>
      </c>
      <c r="E135" s="3">
        <v>21417</v>
      </c>
      <c r="F135" s="3">
        <v>20967</v>
      </c>
      <c r="G135" s="3">
        <v>186</v>
      </c>
      <c r="H135" s="5">
        <v>1331</v>
      </c>
      <c r="I135" s="5">
        <v>430</v>
      </c>
      <c r="J135" s="5">
        <v>3.29</v>
      </c>
    </row>
    <row r="136" spans="1:10" x14ac:dyDescent="0.3">
      <c r="A136" s="5" t="s">
        <v>319</v>
      </c>
      <c r="B136" s="3">
        <v>2072</v>
      </c>
      <c r="C136" s="3">
        <v>532</v>
      </c>
      <c r="D136" s="3">
        <v>71</v>
      </c>
      <c r="E136" s="3">
        <v>37296</v>
      </c>
      <c r="F136" s="3">
        <v>36467</v>
      </c>
      <c r="G136" s="3">
        <v>25</v>
      </c>
      <c r="H136" s="5">
        <v>1748</v>
      </c>
      <c r="I136" s="5">
        <v>176</v>
      </c>
      <c r="J136" s="5">
        <v>9.24</v>
      </c>
    </row>
    <row r="137" spans="1:10" x14ac:dyDescent="0.3">
      <c r="A137" s="5" t="s">
        <v>324</v>
      </c>
      <c r="B137" s="3">
        <v>3731</v>
      </c>
      <c r="C137" s="3">
        <v>115</v>
      </c>
      <c r="D137" s="3">
        <v>135</v>
      </c>
      <c r="E137" s="3">
        <v>55965</v>
      </c>
      <c r="F137" s="3">
        <v>55436</v>
      </c>
      <c r="G137" s="3">
        <v>103</v>
      </c>
      <c r="H137" s="5">
        <v>663</v>
      </c>
      <c r="I137" s="5">
        <v>236</v>
      </c>
      <c r="J137" s="5">
        <v>4.51</v>
      </c>
    </row>
    <row r="138" spans="1:10" x14ac:dyDescent="0.3">
      <c r="A138" s="5" t="s">
        <v>311</v>
      </c>
      <c r="B138" s="3">
        <v>4213</v>
      </c>
      <c r="C138" s="3">
        <v>253</v>
      </c>
      <c r="D138" s="3">
        <v>434</v>
      </c>
      <c r="E138" s="3">
        <v>75834</v>
      </c>
      <c r="F138" s="3">
        <v>75437</v>
      </c>
      <c r="G138" s="3">
        <v>272</v>
      </c>
      <c r="H138" s="5">
        <v>1040</v>
      </c>
      <c r="I138" s="5">
        <v>149</v>
      </c>
      <c r="J138" s="5">
        <v>5.23</v>
      </c>
    </row>
    <row r="139" spans="1:10" x14ac:dyDescent="0.3">
      <c r="A139" s="5" t="s">
        <v>316</v>
      </c>
      <c r="B139" s="3">
        <v>3134</v>
      </c>
      <c r="C139" s="3">
        <v>888</v>
      </c>
      <c r="D139" s="3">
        <v>444</v>
      </c>
      <c r="E139" s="3">
        <v>21938</v>
      </c>
      <c r="F139" s="3">
        <v>21337</v>
      </c>
      <c r="G139" s="3">
        <v>130</v>
      </c>
      <c r="H139" s="5">
        <v>1166</v>
      </c>
      <c r="I139" s="5">
        <v>442</v>
      </c>
      <c r="J139" s="5">
        <v>4.68</v>
      </c>
    </row>
    <row r="140" spans="1:10" x14ac:dyDescent="0.3">
      <c r="A140" s="5" t="s">
        <v>319</v>
      </c>
      <c r="B140" s="3">
        <v>3008</v>
      </c>
      <c r="C140" s="3">
        <v>94</v>
      </c>
      <c r="D140" s="3">
        <v>37</v>
      </c>
      <c r="E140" s="3">
        <v>15040</v>
      </c>
      <c r="F140" s="3">
        <v>14639</v>
      </c>
      <c r="G140" s="3">
        <v>277</v>
      </c>
      <c r="H140" s="5">
        <v>115</v>
      </c>
      <c r="I140" s="5">
        <v>281</v>
      </c>
      <c r="J140" s="5">
        <v>9.23</v>
      </c>
    </row>
    <row r="141" spans="1:10" x14ac:dyDescent="0.3">
      <c r="A141" s="5" t="s">
        <v>324</v>
      </c>
      <c r="B141" s="3">
        <v>305</v>
      </c>
      <c r="C141" s="3">
        <v>187</v>
      </c>
      <c r="D141" s="3">
        <v>243</v>
      </c>
      <c r="E141" s="3">
        <v>4575</v>
      </c>
      <c r="F141" s="3">
        <v>3704</v>
      </c>
      <c r="G141" s="3">
        <v>234</v>
      </c>
      <c r="H141" s="5">
        <v>1249</v>
      </c>
      <c r="I141" s="5">
        <v>351</v>
      </c>
      <c r="J141" s="5">
        <v>6.37</v>
      </c>
    </row>
    <row r="142" spans="1:10" x14ac:dyDescent="0.3">
      <c r="A142" s="5" t="s">
        <v>311</v>
      </c>
      <c r="B142" s="3">
        <v>2746</v>
      </c>
      <c r="C142" s="3">
        <v>156</v>
      </c>
      <c r="D142" s="3">
        <v>203</v>
      </c>
      <c r="E142" s="3">
        <v>32952</v>
      </c>
      <c r="F142" s="3">
        <v>32147</v>
      </c>
      <c r="G142" s="3">
        <v>147</v>
      </c>
      <c r="H142" s="5">
        <v>1501</v>
      </c>
      <c r="I142" s="5">
        <v>75</v>
      </c>
      <c r="J142" s="5">
        <v>2.0099999999999998</v>
      </c>
    </row>
    <row r="143" spans="1:10" x14ac:dyDescent="0.3">
      <c r="A143" s="5" t="s">
        <v>316</v>
      </c>
      <c r="B143" s="3">
        <v>2291</v>
      </c>
      <c r="C143" s="3">
        <v>78</v>
      </c>
      <c r="D143" s="3">
        <v>485</v>
      </c>
      <c r="E143" s="3">
        <v>18328</v>
      </c>
      <c r="F143" s="3">
        <v>18101</v>
      </c>
      <c r="G143" s="3">
        <v>10</v>
      </c>
      <c r="H143" s="5">
        <v>1411</v>
      </c>
      <c r="I143" s="5">
        <v>186</v>
      </c>
      <c r="J143" s="5">
        <v>3.72</v>
      </c>
    </row>
    <row r="144" spans="1:10" x14ac:dyDescent="0.3">
      <c r="A144" s="5" t="s">
        <v>319</v>
      </c>
      <c r="B144" s="3">
        <v>3170</v>
      </c>
      <c r="C144" s="3">
        <v>857</v>
      </c>
      <c r="D144" s="3">
        <v>379</v>
      </c>
      <c r="E144" s="3">
        <v>19020</v>
      </c>
      <c r="F144" s="3">
        <v>18559</v>
      </c>
      <c r="G144" s="3">
        <v>240</v>
      </c>
      <c r="H144" s="5">
        <v>1556</v>
      </c>
      <c r="I144" s="5">
        <v>476</v>
      </c>
      <c r="J144" s="5">
        <v>3.89</v>
      </c>
    </row>
    <row r="145" spans="1:10" x14ac:dyDescent="0.3">
      <c r="A145" s="5" t="s">
        <v>324</v>
      </c>
      <c r="B145" s="3">
        <v>2070</v>
      </c>
      <c r="C145" s="3">
        <v>275</v>
      </c>
      <c r="D145" s="3">
        <v>386</v>
      </c>
      <c r="E145" s="3">
        <v>39330</v>
      </c>
      <c r="F145" s="3">
        <v>38627</v>
      </c>
      <c r="G145" s="3">
        <v>114</v>
      </c>
      <c r="H145" s="5">
        <v>1159</v>
      </c>
      <c r="I145" s="5">
        <v>411</v>
      </c>
      <c r="J145" s="5">
        <v>8.6999999999999993</v>
      </c>
    </row>
    <row r="146" spans="1:10" x14ac:dyDescent="0.3">
      <c r="A146" s="5" t="s">
        <v>311</v>
      </c>
      <c r="B146" s="3">
        <v>80</v>
      </c>
      <c r="C146" s="3">
        <v>362</v>
      </c>
      <c r="D146" s="3">
        <v>80</v>
      </c>
      <c r="E146" s="3">
        <v>1040</v>
      </c>
      <c r="F146" s="3">
        <v>349</v>
      </c>
      <c r="G146" s="3">
        <v>117</v>
      </c>
      <c r="H146" s="5">
        <v>927</v>
      </c>
      <c r="I146" s="5">
        <v>358</v>
      </c>
      <c r="J146" s="5">
        <v>6.95</v>
      </c>
    </row>
    <row r="147" spans="1:10" x14ac:dyDescent="0.3">
      <c r="A147" s="5" t="s">
        <v>316</v>
      </c>
      <c r="B147" s="3">
        <v>4929</v>
      </c>
      <c r="C147" s="3">
        <v>749</v>
      </c>
      <c r="D147" s="3">
        <v>452</v>
      </c>
      <c r="E147" s="3">
        <v>93651</v>
      </c>
      <c r="F147" s="3">
        <v>92810</v>
      </c>
      <c r="G147" s="3">
        <v>66</v>
      </c>
      <c r="H147" s="5">
        <v>152</v>
      </c>
      <c r="I147" s="5">
        <v>355</v>
      </c>
      <c r="J147" s="5">
        <v>9.48</v>
      </c>
    </row>
    <row r="148" spans="1:10" x14ac:dyDescent="0.3">
      <c r="A148" s="5" t="s">
        <v>319</v>
      </c>
      <c r="B148" s="3">
        <v>1878</v>
      </c>
      <c r="C148" s="3">
        <v>62</v>
      </c>
      <c r="D148" s="3">
        <v>179</v>
      </c>
      <c r="E148" s="3">
        <v>37560</v>
      </c>
      <c r="F148" s="3">
        <v>36874</v>
      </c>
      <c r="G148" s="3">
        <v>142</v>
      </c>
      <c r="H148" s="5">
        <v>1957</v>
      </c>
      <c r="I148" s="5">
        <v>234</v>
      </c>
      <c r="J148" s="5">
        <v>4.6100000000000003</v>
      </c>
    </row>
    <row r="149" spans="1:10" x14ac:dyDescent="0.3">
      <c r="A149" s="5" t="s">
        <v>324</v>
      </c>
      <c r="B149" s="3">
        <v>3065</v>
      </c>
      <c r="C149" s="3">
        <v>772</v>
      </c>
      <c r="D149" s="3">
        <v>142</v>
      </c>
      <c r="E149" s="3">
        <v>18390</v>
      </c>
      <c r="F149" s="3">
        <v>17875</v>
      </c>
      <c r="G149" s="3">
        <v>200</v>
      </c>
      <c r="H149" s="5">
        <v>1294</v>
      </c>
      <c r="I149" s="5">
        <v>382</v>
      </c>
      <c r="J149" s="5">
        <v>8.0299999999999994</v>
      </c>
    </row>
    <row r="150" spans="1:10" x14ac:dyDescent="0.3">
      <c r="A150" s="5" t="s">
        <v>311</v>
      </c>
      <c r="B150" s="3">
        <v>3256</v>
      </c>
      <c r="C150" s="3">
        <v>459</v>
      </c>
      <c r="D150" s="3">
        <v>266</v>
      </c>
      <c r="E150" s="3">
        <v>26048</v>
      </c>
      <c r="F150" s="3">
        <v>25529</v>
      </c>
      <c r="G150" s="3">
        <v>143</v>
      </c>
      <c r="H150" s="5">
        <v>1587</v>
      </c>
      <c r="I150" s="5">
        <v>385</v>
      </c>
      <c r="J150" s="5">
        <v>6.99</v>
      </c>
    </row>
    <row r="151" spans="1:10" x14ac:dyDescent="0.3">
      <c r="A151" s="5" t="s">
        <v>316</v>
      </c>
      <c r="B151" s="3">
        <v>4133</v>
      </c>
      <c r="C151" s="3">
        <v>466</v>
      </c>
      <c r="D151" s="3">
        <v>327</v>
      </c>
      <c r="E151" s="3">
        <v>24798</v>
      </c>
      <c r="F151" s="3">
        <v>24620</v>
      </c>
      <c r="G151" s="3">
        <v>176</v>
      </c>
      <c r="H151" s="5">
        <v>1707</v>
      </c>
      <c r="I151" s="5">
        <v>263</v>
      </c>
      <c r="J151" s="5">
        <v>9.0299999999999994</v>
      </c>
    </row>
    <row r="152" spans="1:10" x14ac:dyDescent="0.3">
      <c r="A152" s="5" t="s">
        <v>319</v>
      </c>
      <c r="B152" s="3">
        <v>1702</v>
      </c>
      <c r="C152" s="3">
        <v>750</v>
      </c>
      <c r="D152" s="3">
        <v>179</v>
      </c>
      <c r="E152" s="3">
        <v>34040</v>
      </c>
      <c r="F152" s="3">
        <v>33174</v>
      </c>
      <c r="G152" s="3">
        <v>76</v>
      </c>
      <c r="H152" s="5">
        <v>1138</v>
      </c>
      <c r="I152" s="5">
        <v>173</v>
      </c>
      <c r="J152" s="5">
        <v>2.86</v>
      </c>
    </row>
    <row r="153" spans="1:10" x14ac:dyDescent="0.3">
      <c r="A153" s="5" t="s">
        <v>324</v>
      </c>
      <c r="B153" s="3">
        <v>4295</v>
      </c>
      <c r="C153" s="3">
        <v>853</v>
      </c>
      <c r="D153" s="3">
        <v>325</v>
      </c>
      <c r="E153" s="3">
        <v>85900</v>
      </c>
      <c r="F153" s="3">
        <v>85788</v>
      </c>
      <c r="G153" s="3">
        <v>290</v>
      </c>
      <c r="H153" s="5">
        <v>1895</v>
      </c>
      <c r="I153" s="5">
        <v>305</v>
      </c>
      <c r="J153" s="5">
        <v>3.85</v>
      </c>
    </row>
    <row r="154" spans="1:10" x14ac:dyDescent="0.3">
      <c r="A154" s="5" t="s">
        <v>311</v>
      </c>
      <c r="B154" s="3">
        <v>3559</v>
      </c>
      <c r="C154" s="3">
        <v>59</v>
      </c>
      <c r="D154" s="3">
        <v>289</v>
      </c>
      <c r="E154" s="3">
        <v>35590</v>
      </c>
      <c r="F154" s="3">
        <v>35105</v>
      </c>
      <c r="G154" s="3">
        <v>122</v>
      </c>
      <c r="H154" s="5">
        <v>362</v>
      </c>
      <c r="I154" s="5">
        <v>399</v>
      </c>
      <c r="J154" s="5">
        <v>7.3</v>
      </c>
    </row>
    <row r="155" spans="1:10" x14ac:dyDescent="0.3">
      <c r="A155" s="5" t="s">
        <v>316</v>
      </c>
      <c r="B155" s="3">
        <v>4804</v>
      </c>
      <c r="C155" s="3">
        <v>550</v>
      </c>
      <c r="D155" s="3">
        <v>270</v>
      </c>
      <c r="E155" s="3">
        <v>28824</v>
      </c>
      <c r="F155" s="3">
        <v>28370</v>
      </c>
      <c r="G155" s="3">
        <v>47</v>
      </c>
      <c r="H155" s="5">
        <v>1662</v>
      </c>
      <c r="I155" s="5">
        <v>487</v>
      </c>
      <c r="J155" s="5">
        <v>9.08</v>
      </c>
    </row>
    <row r="156" spans="1:10" x14ac:dyDescent="0.3">
      <c r="A156" s="5" t="s">
        <v>319</v>
      </c>
      <c r="B156" s="3">
        <v>754</v>
      </c>
      <c r="C156" s="3">
        <v>197</v>
      </c>
      <c r="D156" s="3">
        <v>257</v>
      </c>
      <c r="E156" s="3">
        <v>6786</v>
      </c>
      <c r="F156" s="3">
        <v>6221</v>
      </c>
      <c r="G156" s="3">
        <v>212</v>
      </c>
      <c r="H156" s="5">
        <v>1440</v>
      </c>
      <c r="I156" s="5">
        <v>65</v>
      </c>
      <c r="J156" s="5">
        <v>4.34</v>
      </c>
    </row>
    <row r="157" spans="1:10" x14ac:dyDescent="0.3">
      <c r="A157" s="5" t="s">
        <v>324</v>
      </c>
      <c r="B157" s="3">
        <v>985</v>
      </c>
      <c r="C157" s="3">
        <v>932</v>
      </c>
      <c r="D157" s="3">
        <v>287</v>
      </c>
      <c r="E157" s="3">
        <v>6895</v>
      </c>
      <c r="F157" s="3">
        <v>6757</v>
      </c>
      <c r="G157" s="3">
        <v>64</v>
      </c>
      <c r="H157" s="5">
        <v>1884</v>
      </c>
      <c r="I157" s="5">
        <v>177</v>
      </c>
      <c r="J157" s="5">
        <v>7.8</v>
      </c>
    </row>
    <row r="158" spans="1:10" x14ac:dyDescent="0.3">
      <c r="A158" s="5" t="s">
        <v>311</v>
      </c>
      <c r="B158" s="3">
        <v>2283</v>
      </c>
      <c r="C158" s="3">
        <v>210</v>
      </c>
      <c r="D158" s="3">
        <v>130</v>
      </c>
      <c r="E158" s="3">
        <v>22830</v>
      </c>
      <c r="F158" s="3">
        <v>22617</v>
      </c>
      <c r="G158" s="3">
        <v>143</v>
      </c>
      <c r="H158" s="5">
        <v>861</v>
      </c>
      <c r="I158" s="5">
        <v>153</v>
      </c>
      <c r="J158" s="5">
        <v>3.85</v>
      </c>
    </row>
    <row r="159" spans="1:10" x14ac:dyDescent="0.3">
      <c r="A159" s="5" t="s">
        <v>316</v>
      </c>
      <c r="B159" s="3">
        <v>3352</v>
      </c>
      <c r="C159" s="3">
        <v>941</v>
      </c>
      <c r="D159" s="3">
        <v>482</v>
      </c>
      <c r="E159" s="3">
        <v>43576</v>
      </c>
      <c r="F159" s="3">
        <v>43338</v>
      </c>
      <c r="G159" s="3">
        <v>240</v>
      </c>
      <c r="H159" s="5">
        <v>1063</v>
      </c>
      <c r="I159" s="5">
        <v>47</v>
      </c>
      <c r="J159" s="5">
        <v>6.58</v>
      </c>
    </row>
    <row r="160" spans="1:10" x14ac:dyDescent="0.3">
      <c r="A160" s="5" t="s">
        <v>319</v>
      </c>
      <c r="B160" s="3">
        <v>4775</v>
      </c>
      <c r="C160" s="3">
        <v>173</v>
      </c>
      <c r="D160" s="3">
        <v>206</v>
      </c>
      <c r="E160" s="3">
        <v>47750</v>
      </c>
      <c r="F160" s="3">
        <v>47544</v>
      </c>
      <c r="G160" s="3">
        <v>187</v>
      </c>
      <c r="H160" s="5">
        <v>1371</v>
      </c>
      <c r="I160" s="5">
        <v>56</v>
      </c>
      <c r="J160" s="5">
        <v>8.6199999999999992</v>
      </c>
    </row>
    <row r="161" spans="1:10" x14ac:dyDescent="0.3">
      <c r="A161" s="5" t="s">
        <v>324</v>
      </c>
      <c r="B161" s="3">
        <v>1762</v>
      </c>
      <c r="C161" s="3">
        <v>405</v>
      </c>
      <c r="D161" s="3">
        <v>423</v>
      </c>
      <c r="E161" s="3">
        <v>22906</v>
      </c>
      <c r="F161" s="3">
        <v>21925</v>
      </c>
      <c r="G161" s="3">
        <v>25</v>
      </c>
      <c r="H161" s="5">
        <v>345</v>
      </c>
      <c r="I161" s="5">
        <v>464</v>
      </c>
      <c r="J161" s="5">
        <v>4.55</v>
      </c>
    </row>
    <row r="162" spans="1:10" x14ac:dyDescent="0.3">
      <c r="A162" s="5" t="s">
        <v>311</v>
      </c>
      <c r="B162" s="3">
        <v>2120</v>
      </c>
      <c r="C162" s="3">
        <v>158</v>
      </c>
      <c r="D162" s="3">
        <v>488</v>
      </c>
      <c r="E162" s="3">
        <v>12720</v>
      </c>
      <c r="F162" s="3">
        <v>12085</v>
      </c>
      <c r="G162" s="3">
        <v>17</v>
      </c>
      <c r="H162" s="5">
        <v>946</v>
      </c>
      <c r="I162" s="5">
        <v>47</v>
      </c>
      <c r="J162" s="5">
        <v>8.33</v>
      </c>
    </row>
    <row r="163" spans="1:10" x14ac:dyDescent="0.3">
      <c r="A163" s="5" t="s">
        <v>316</v>
      </c>
      <c r="B163" s="3">
        <v>1082</v>
      </c>
      <c r="C163" s="3">
        <v>209</v>
      </c>
      <c r="D163" s="3">
        <v>484</v>
      </c>
      <c r="E163" s="3">
        <v>19476</v>
      </c>
      <c r="F163" s="3">
        <v>18654</v>
      </c>
      <c r="G163" s="3">
        <v>20</v>
      </c>
      <c r="H163" s="5">
        <v>510</v>
      </c>
      <c r="I163" s="5">
        <v>195</v>
      </c>
      <c r="J163" s="5">
        <v>9.4</v>
      </c>
    </row>
    <row r="164" spans="1:10" x14ac:dyDescent="0.3">
      <c r="A164" s="5" t="s">
        <v>319</v>
      </c>
      <c r="B164" s="3">
        <v>4671</v>
      </c>
      <c r="C164" s="3">
        <v>876</v>
      </c>
      <c r="D164" s="3">
        <v>366</v>
      </c>
      <c r="E164" s="3">
        <v>51381</v>
      </c>
      <c r="F164" s="3">
        <v>50565</v>
      </c>
      <c r="G164" s="3">
        <v>245</v>
      </c>
      <c r="H164" s="5">
        <v>393</v>
      </c>
      <c r="I164" s="5">
        <v>181</v>
      </c>
      <c r="J164" s="5">
        <v>7.23</v>
      </c>
    </row>
    <row r="165" spans="1:10" x14ac:dyDescent="0.3">
      <c r="A165" s="5" t="s">
        <v>324</v>
      </c>
      <c r="B165" s="3">
        <v>3430</v>
      </c>
      <c r="C165" s="3">
        <v>566</v>
      </c>
      <c r="D165" s="3">
        <v>164</v>
      </c>
      <c r="E165" s="3">
        <v>48020</v>
      </c>
      <c r="F165" s="3">
        <v>47305</v>
      </c>
      <c r="G165" s="3">
        <v>120</v>
      </c>
      <c r="H165" s="5">
        <v>1098</v>
      </c>
      <c r="I165" s="5">
        <v>190</v>
      </c>
      <c r="J165" s="5">
        <v>9.39</v>
      </c>
    </row>
    <row r="166" spans="1:10" x14ac:dyDescent="0.3">
      <c r="A166" s="5" t="s">
        <v>311</v>
      </c>
      <c r="B166" s="3">
        <v>4501</v>
      </c>
      <c r="C166" s="3">
        <v>375</v>
      </c>
      <c r="D166" s="3">
        <v>323</v>
      </c>
      <c r="E166" s="3">
        <v>22505</v>
      </c>
      <c r="F166" s="3">
        <v>21836</v>
      </c>
      <c r="G166" s="3">
        <v>132</v>
      </c>
      <c r="H166" s="5">
        <v>1399</v>
      </c>
      <c r="I166" s="5">
        <v>49</v>
      </c>
      <c r="J166" s="5">
        <v>5.12</v>
      </c>
    </row>
    <row r="167" spans="1:10" x14ac:dyDescent="0.3">
      <c r="A167" s="5" t="s">
        <v>316</v>
      </c>
      <c r="B167" s="3">
        <v>4934</v>
      </c>
      <c r="C167" s="3">
        <v>971</v>
      </c>
      <c r="D167" s="3">
        <v>156</v>
      </c>
      <c r="E167" s="3">
        <v>39472</v>
      </c>
      <c r="F167" s="3">
        <v>39025</v>
      </c>
      <c r="G167" s="3">
        <v>169</v>
      </c>
      <c r="H167" s="5">
        <v>1658</v>
      </c>
      <c r="I167" s="5">
        <v>416</v>
      </c>
      <c r="J167" s="5">
        <v>6.11</v>
      </c>
    </row>
    <row r="168" spans="1:10" x14ac:dyDescent="0.3">
      <c r="A168" s="5" t="s">
        <v>319</v>
      </c>
      <c r="B168" s="3">
        <v>3239</v>
      </c>
      <c r="C168" s="3">
        <v>43</v>
      </c>
      <c r="D168" s="3">
        <v>211</v>
      </c>
      <c r="E168" s="3">
        <v>22673</v>
      </c>
      <c r="F168" s="3">
        <v>22171</v>
      </c>
      <c r="G168" s="3">
        <v>230</v>
      </c>
      <c r="H168" s="5">
        <v>1102</v>
      </c>
      <c r="I168" s="5">
        <v>422</v>
      </c>
      <c r="J168" s="5">
        <v>7.74</v>
      </c>
    </row>
    <row r="169" spans="1:10" x14ac:dyDescent="0.3">
      <c r="A169" s="5" t="s">
        <v>324</v>
      </c>
      <c r="B169" s="3">
        <v>1076</v>
      </c>
      <c r="C169" s="3">
        <v>313</v>
      </c>
      <c r="D169" s="3">
        <v>306</v>
      </c>
      <c r="E169" s="3">
        <v>11836</v>
      </c>
      <c r="F169" s="3">
        <v>11596</v>
      </c>
      <c r="G169" s="3">
        <v>104</v>
      </c>
      <c r="H169" s="5">
        <v>1358</v>
      </c>
      <c r="I169" s="5">
        <v>242</v>
      </c>
      <c r="J169" s="5">
        <v>4.9400000000000004</v>
      </c>
    </row>
    <row r="170" spans="1:10" x14ac:dyDescent="0.3">
      <c r="A170" s="5" t="s">
        <v>311</v>
      </c>
      <c r="B170" s="3">
        <v>4771</v>
      </c>
      <c r="C170" s="3">
        <v>818</v>
      </c>
      <c r="D170" s="3">
        <v>56</v>
      </c>
      <c r="E170" s="3">
        <v>57252</v>
      </c>
      <c r="F170" s="3">
        <v>56378</v>
      </c>
      <c r="G170" s="3">
        <v>150</v>
      </c>
      <c r="H170" s="5">
        <v>1077</v>
      </c>
      <c r="I170" s="5">
        <v>216</v>
      </c>
      <c r="J170" s="5">
        <v>1.8</v>
      </c>
    </row>
    <row r="171" spans="1:10" x14ac:dyDescent="0.3">
      <c r="A171" s="5" t="s">
        <v>316</v>
      </c>
      <c r="B171" s="3">
        <v>2418</v>
      </c>
      <c r="C171" s="3">
        <v>754</v>
      </c>
      <c r="D171" s="3">
        <v>54</v>
      </c>
      <c r="E171" s="3">
        <v>43524</v>
      </c>
      <c r="F171" s="3">
        <v>42743</v>
      </c>
      <c r="G171" s="3">
        <v>182</v>
      </c>
      <c r="H171" s="5">
        <v>1596</v>
      </c>
      <c r="I171" s="5">
        <v>211</v>
      </c>
      <c r="J171" s="5">
        <v>8.64</v>
      </c>
    </row>
    <row r="172" spans="1:10" x14ac:dyDescent="0.3">
      <c r="A172" s="5" t="s">
        <v>319</v>
      </c>
      <c r="B172" s="3">
        <v>3809</v>
      </c>
      <c r="C172" s="3">
        <v>273</v>
      </c>
      <c r="D172" s="3">
        <v>200</v>
      </c>
      <c r="E172" s="3">
        <v>34281</v>
      </c>
      <c r="F172" s="3">
        <v>33534</v>
      </c>
      <c r="G172" s="3">
        <v>83</v>
      </c>
      <c r="H172" s="5">
        <v>490</v>
      </c>
      <c r="I172" s="5">
        <v>29</v>
      </c>
      <c r="J172" s="5">
        <v>1.53</v>
      </c>
    </row>
    <row r="173" spans="1:10" x14ac:dyDescent="0.3">
      <c r="A173" s="5" t="s">
        <v>324</v>
      </c>
      <c r="B173" s="3">
        <v>3577</v>
      </c>
      <c r="C173" s="3">
        <v>596</v>
      </c>
      <c r="D173" s="3">
        <v>493</v>
      </c>
      <c r="E173" s="3">
        <v>67963</v>
      </c>
      <c r="F173" s="3">
        <v>67839</v>
      </c>
      <c r="G173" s="3">
        <v>53</v>
      </c>
      <c r="H173" s="5">
        <v>609</v>
      </c>
      <c r="I173" s="5">
        <v>135</v>
      </c>
      <c r="J173" s="5">
        <v>8.52</v>
      </c>
    </row>
    <row r="174" spans="1:10" x14ac:dyDescent="0.3">
      <c r="A174" s="5" t="s">
        <v>311</v>
      </c>
      <c r="B174" s="3">
        <v>1018</v>
      </c>
      <c r="C174" s="3">
        <v>447</v>
      </c>
      <c r="D174" s="3">
        <v>332</v>
      </c>
      <c r="E174" s="3">
        <v>18324</v>
      </c>
      <c r="F174" s="3">
        <v>18164</v>
      </c>
      <c r="G174" s="3">
        <v>38</v>
      </c>
      <c r="H174" s="5">
        <v>364</v>
      </c>
      <c r="I174" s="5">
        <v>72</v>
      </c>
      <c r="J174" s="5">
        <v>5.53</v>
      </c>
    </row>
    <row r="175" spans="1:10" x14ac:dyDescent="0.3">
      <c r="A175" s="5" t="s">
        <v>316</v>
      </c>
      <c r="B175" s="3">
        <v>3073</v>
      </c>
      <c r="C175" s="3">
        <v>553</v>
      </c>
      <c r="D175" s="3">
        <v>174</v>
      </c>
      <c r="E175" s="3">
        <v>52241</v>
      </c>
      <c r="F175" s="3">
        <v>51605</v>
      </c>
      <c r="G175" s="3">
        <v>246</v>
      </c>
      <c r="H175" s="5">
        <v>442</v>
      </c>
      <c r="I175" s="5">
        <v>53</v>
      </c>
      <c r="J175" s="5">
        <v>1.87</v>
      </c>
    </row>
    <row r="176" spans="1:10" x14ac:dyDescent="0.3">
      <c r="A176" s="5" t="s">
        <v>319</v>
      </c>
      <c r="B176" s="3">
        <v>1330</v>
      </c>
      <c r="C176" s="3">
        <v>925</v>
      </c>
      <c r="D176" s="3">
        <v>35</v>
      </c>
      <c r="E176" s="3">
        <v>15960</v>
      </c>
      <c r="F176" s="3">
        <v>15379</v>
      </c>
      <c r="G176" s="3">
        <v>229</v>
      </c>
      <c r="H176" s="5">
        <v>1033</v>
      </c>
      <c r="I176" s="5">
        <v>392</v>
      </c>
      <c r="J176" s="5">
        <v>6.27</v>
      </c>
    </row>
    <row r="177" spans="1:10" x14ac:dyDescent="0.3">
      <c r="A177" s="5" t="s">
        <v>324</v>
      </c>
      <c r="B177" s="3">
        <v>3828</v>
      </c>
      <c r="C177" s="3">
        <v>148</v>
      </c>
      <c r="D177" s="3">
        <v>253</v>
      </c>
      <c r="E177" s="3">
        <v>30624</v>
      </c>
      <c r="F177" s="3">
        <v>30229</v>
      </c>
      <c r="G177" s="3">
        <v>235</v>
      </c>
      <c r="H177" s="5">
        <v>988</v>
      </c>
      <c r="I177" s="5">
        <v>474</v>
      </c>
      <c r="J177" s="5">
        <v>9.4600000000000009</v>
      </c>
    </row>
    <row r="178" spans="1:10" x14ac:dyDescent="0.3">
      <c r="A178" s="5" t="s">
        <v>311</v>
      </c>
      <c r="B178" s="3">
        <v>142</v>
      </c>
      <c r="C178" s="3">
        <v>784</v>
      </c>
      <c r="D178" s="3">
        <v>183</v>
      </c>
      <c r="E178" s="3">
        <v>1704</v>
      </c>
      <c r="F178" s="3">
        <v>995</v>
      </c>
      <c r="G178" s="3">
        <v>154</v>
      </c>
      <c r="H178" s="5">
        <v>1946</v>
      </c>
      <c r="I178" s="5">
        <v>270</v>
      </c>
      <c r="J178" s="5">
        <v>7.5</v>
      </c>
    </row>
    <row r="179" spans="1:10" x14ac:dyDescent="0.3">
      <c r="A179" s="5" t="s">
        <v>316</v>
      </c>
      <c r="B179" s="3">
        <v>3798</v>
      </c>
      <c r="C179" s="3">
        <v>31</v>
      </c>
      <c r="D179" s="3">
        <v>279</v>
      </c>
      <c r="E179" s="3">
        <v>75960</v>
      </c>
      <c r="F179" s="3">
        <v>75813</v>
      </c>
      <c r="G179" s="3">
        <v>266</v>
      </c>
      <c r="H179" s="5">
        <v>1957</v>
      </c>
      <c r="I179" s="5">
        <v>490</v>
      </c>
      <c r="J179" s="5">
        <v>4.7300000000000004</v>
      </c>
    </row>
    <row r="180" spans="1:10" x14ac:dyDescent="0.3">
      <c r="A180" s="5" t="s">
        <v>319</v>
      </c>
      <c r="B180" s="3">
        <v>3099</v>
      </c>
      <c r="C180" s="3">
        <v>694</v>
      </c>
      <c r="D180" s="3">
        <v>171</v>
      </c>
      <c r="E180" s="3">
        <v>43386</v>
      </c>
      <c r="F180" s="3">
        <v>42921</v>
      </c>
      <c r="G180" s="3">
        <v>52</v>
      </c>
      <c r="H180" s="5">
        <v>559</v>
      </c>
      <c r="I180" s="5">
        <v>392</v>
      </c>
      <c r="J180" s="5">
        <v>3.19</v>
      </c>
    </row>
    <row r="181" spans="1:10" x14ac:dyDescent="0.3">
      <c r="A181" s="5" t="s">
        <v>324</v>
      </c>
      <c r="B181" s="3">
        <v>129</v>
      </c>
      <c r="C181" s="3">
        <v>643</v>
      </c>
      <c r="D181" s="3">
        <v>136</v>
      </c>
      <c r="E181" s="3">
        <v>1290</v>
      </c>
      <c r="F181" s="3">
        <v>839</v>
      </c>
      <c r="G181" s="3">
        <v>238</v>
      </c>
      <c r="H181" s="5">
        <v>1307</v>
      </c>
      <c r="I181" s="5">
        <v>278</v>
      </c>
      <c r="J181" s="5">
        <v>2.4900000000000002</v>
      </c>
    </row>
    <row r="182" spans="1:10" x14ac:dyDescent="0.3">
      <c r="A182" s="5" t="s">
        <v>311</v>
      </c>
      <c r="B182" s="3">
        <v>3796</v>
      </c>
      <c r="C182" s="3">
        <v>667</v>
      </c>
      <c r="D182" s="3">
        <v>395</v>
      </c>
      <c r="E182" s="3">
        <v>64532</v>
      </c>
      <c r="F182" s="3">
        <v>63550</v>
      </c>
      <c r="G182" s="3">
        <v>292</v>
      </c>
      <c r="H182" s="5">
        <v>1432</v>
      </c>
      <c r="I182" s="5">
        <v>425</v>
      </c>
      <c r="J182" s="5">
        <v>4.5</v>
      </c>
    </row>
    <row r="183" spans="1:10" x14ac:dyDescent="0.3">
      <c r="A183" s="5" t="s">
        <v>316</v>
      </c>
      <c r="B183" s="3">
        <v>3711</v>
      </c>
      <c r="C183" s="3">
        <v>352</v>
      </c>
      <c r="D183" s="3">
        <v>290</v>
      </c>
      <c r="E183" s="3">
        <v>48243</v>
      </c>
      <c r="F183" s="3">
        <v>47579</v>
      </c>
      <c r="G183" s="3">
        <v>11</v>
      </c>
      <c r="H183" s="5">
        <v>623</v>
      </c>
      <c r="I183" s="5">
        <v>414</v>
      </c>
      <c r="J183" s="5">
        <v>6.49</v>
      </c>
    </row>
    <row r="184" spans="1:10" x14ac:dyDescent="0.3">
      <c r="A184" s="5" t="s">
        <v>319</v>
      </c>
      <c r="B184" s="3">
        <v>606</v>
      </c>
      <c r="C184" s="3">
        <v>789</v>
      </c>
      <c r="D184" s="3">
        <v>470</v>
      </c>
      <c r="E184" s="3">
        <v>7878</v>
      </c>
      <c r="F184" s="3">
        <v>7389</v>
      </c>
      <c r="G184" s="3">
        <v>239</v>
      </c>
      <c r="H184" s="5">
        <v>198</v>
      </c>
      <c r="I184" s="5">
        <v>358</v>
      </c>
      <c r="J184" s="5">
        <v>6.73</v>
      </c>
    </row>
    <row r="185" spans="1:10" x14ac:dyDescent="0.3">
      <c r="A185" s="5" t="s">
        <v>324</v>
      </c>
      <c r="B185" s="3">
        <v>4689</v>
      </c>
      <c r="C185" s="3">
        <v>134</v>
      </c>
      <c r="D185" s="3">
        <v>403</v>
      </c>
      <c r="E185" s="3">
        <v>51579</v>
      </c>
      <c r="F185" s="3">
        <v>50924</v>
      </c>
      <c r="G185" s="3">
        <v>173</v>
      </c>
      <c r="H185" s="5">
        <v>198</v>
      </c>
      <c r="I185" s="5">
        <v>373</v>
      </c>
      <c r="J185" s="5">
        <v>4.83</v>
      </c>
    </row>
    <row r="186" spans="1:10" x14ac:dyDescent="0.3">
      <c r="A186" s="5" t="s">
        <v>311</v>
      </c>
      <c r="B186" s="3">
        <v>360</v>
      </c>
      <c r="C186" s="3">
        <v>590</v>
      </c>
      <c r="D186" s="3">
        <v>393</v>
      </c>
      <c r="E186" s="3">
        <v>4680</v>
      </c>
      <c r="F186" s="3">
        <v>4322</v>
      </c>
      <c r="G186" s="3">
        <v>208</v>
      </c>
      <c r="H186" s="5">
        <v>353</v>
      </c>
      <c r="I186" s="5">
        <v>300</v>
      </c>
      <c r="J186" s="5">
        <v>5.3</v>
      </c>
    </row>
    <row r="187" spans="1:10" x14ac:dyDescent="0.3">
      <c r="A187" s="5" t="s">
        <v>316</v>
      </c>
      <c r="B187" s="3">
        <v>3215</v>
      </c>
      <c r="C187" s="3">
        <v>960</v>
      </c>
      <c r="D187" s="3">
        <v>202</v>
      </c>
      <c r="E187" s="3">
        <v>32150</v>
      </c>
      <c r="F187" s="3">
        <v>31404</v>
      </c>
      <c r="G187" s="3">
        <v>251</v>
      </c>
      <c r="H187" s="5">
        <v>520</v>
      </c>
      <c r="I187" s="5">
        <v>375</v>
      </c>
      <c r="J187" s="5">
        <v>6.54</v>
      </c>
    </row>
    <row r="188" spans="1:10" x14ac:dyDescent="0.3">
      <c r="A188" s="5" t="s">
        <v>319</v>
      </c>
      <c r="B188" s="3">
        <v>4523</v>
      </c>
      <c r="C188" s="3">
        <v>61</v>
      </c>
      <c r="D188" s="3">
        <v>157</v>
      </c>
      <c r="E188" s="3">
        <v>49753</v>
      </c>
      <c r="F188" s="3">
        <v>49329</v>
      </c>
      <c r="G188" s="3">
        <v>71</v>
      </c>
      <c r="H188" s="5">
        <v>961</v>
      </c>
      <c r="I188" s="5">
        <v>358</v>
      </c>
      <c r="J188" s="5">
        <v>6.8</v>
      </c>
    </row>
    <row r="189" spans="1:10" x14ac:dyDescent="0.3">
      <c r="A189" s="5" t="s">
        <v>324</v>
      </c>
      <c r="B189" s="3">
        <v>4292</v>
      </c>
      <c r="C189" s="3">
        <v>51</v>
      </c>
      <c r="D189" s="3">
        <v>392</v>
      </c>
      <c r="E189" s="3">
        <v>55796</v>
      </c>
      <c r="F189" s="3">
        <v>54826</v>
      </c>
      <c r="G189" s="3">
        <v>264</v>
      </c>
      <c r="H189" s="5">
        <v>1375</v>
      </c>
      <c r="I189" s="5">
        <v>330</v>
      </c>
      <c r="J189" s="5">
        <v>2.6</v>
      </c>
    </row>
    <row r="190" spans="1:10" x14ac:dyDescent="0.3">
      <c r="A190" s="5" t="s">
        <v>311</v>
      </c>
      <c r="B190" s="3">
        <v>1644</v>
      </c>
      <c r="C190" s="3">
        <v>546</v>
      </c>
      <c r="D190" s="3">
        <v>150</v>
      </c>
      <c r="E190" s="3">
        <v>27948</v>
      </c>
      <c r="F190" s="3">
        <v>27184</v>
      </c>
      <c r="G190" s="3">
        <v>300</v>
      </c>
      <c r="H190" s="5">
        <v>1147</v>
      </c>
      <c r="I190" s="5">
        <v>388</v>
      </c>
      <c r="J190" s="5">
        <v>2.44</v>
      </c>
    </row>
    <row r="191" spans="1:10" x14ac:dyDescent="0.3">
      <c r="A191" s="5" t="s">
        <v>316</v>
      </c>
      <c r="B191" s="3">
        <v>2728</v>
      </c>
      <c r="C191" s="3">
        <v>533</v>
      </c>
      <c r="D191" s="3">
        <v>215</v>
      </c>
      <c r="E191" s="3">
        <v>40920</v>
      </c>
      <c r="F191" s="3">
        <v>40816</v>
      </c>
      <c r="G191" s="3">
        <v>137</v>
      </c>
      <c r="H191" s="5">
        <v>1707</v>
      </c>
      <c r="I191" s="5">
        <v>74</v>
      </c>
      <c r="J191" s="5">
        <v>3.09</v>
      </c>
    </row>
    <row r="192" spans="1:10" x14ac:dyDescent="0.3">
      <c r="A192" s="5" t="s">
        <v>319</v>
      </c>
      <c r="B192" s="3">
        <v>3360</v>
      </c>
      <c r="C192" s="3">
        <v>525</v>
      </c>
      <c r="D192" s="3">
        <v>500</v>
      </c>
      <c r="E192" s="3">
        <v>60480</v>
      </c>
      <c r="F192" s="3">
        <v>59610</v>
      </c>
      <c r="G192" s="3">
        <v>192</v>
      </c>
      <c r="H192" s="5">
        <v>1693</v>
      </c>
      <c r="I192" s="5">
        <v>154</v>
      </c>
      <c r="J192" s="5">
        <v>5.69</v>
      </c>
    </row>
    <row r="193" spans="1:10" x14ac:dyDescent="0.3">
      <c r="A193" s="5" t="s">
        <v>324</v>
      </c>
      <c r="B193" s="3">
        <v>1963</v>
      </c>
      <c r="C193" s="3">
        <v>213</v>
      </c>
      <c r="D193" s="3">
        <v>19</v>
      </c>
      <c r="E193" s="3">
        <v>39260</v>
      </c>
      <c r="F193" s="3">
        <v>38771</v>
      </c>
      <c r="G193" s="3">
        <v>145</v>
      </c>
      <c r="H193" s="5">
        <v>833</v>
      </c>
      <c r="I193" s="5">
        <v>380</v>
      </c>
      <c r="J193" s="5">
        <v>3.86</v>
      </c>
    </row>
    <row r="194" spans="1:10" x14ac:dyDescent="0.3">
      <c r="A194" s="5" t="s">
        <v>311</v>
      </c>
      <c r="B194" s="3">
        <v>4285</v>
      </c>
      <c r="C194" s="3">
        <v>886</v>
      </c>
      <c r="D194" s="3">
        <v>376</v>
      </c>
      <c r="E194" s="3">
        <v>55705</v>
      </c>
      <c r="F194" s="3">
        <v>55556</v>
      </c>
      <c r="G194" s="3">
        <v>51</v>
      </c>
      <c r="H194" s="5">
        <v>1222</v>
      </c>
      <c r="I194" s="5">
        <v>274</v>
      </c>
      <c r="J194" s="5">
        <v>3.16</v>
      </c>
    </row>
    <row r="195" spans="1:10" x14ac:dyDescent="0.3">
      <c r="A195" s="5" t="s">
        <v>316</v>
      </c>
      <c r="B195" s="3">
        <v>1176</v>
      </c>
      <c r="C195" s="3">
        <v>464</v>
      </c>
      <c r="D195" s="3">
        <v>394</v>
      </c>
      <c r="E195" s="3">
        <v>14112</v>
      </c>
      <c r="F195" s="3">
        <v>13588</v>
      </c>
      <c r="G195" s="3">
        <v>272</v>
      </c>
      <c r="H195" s="5">
        <v>777</v>
      </c>
      <c r="I195" s="5">
        <v>140</v>
      </c>
      <c r="J195" s="5">
        <v>1.6</v>
      </c>
    </row>
    <row r="196" spans="1:10" x14ac:dyDescent="0.3">
      <c r="A196" s="5" t="s">
        <v>319</v>
      </c>
      <c r="B196" s="3">
        <v>4858</v>
      </c>
      <c r="C196" s="3">
        <v>317</v>
      </c>
      <c r="D196" s="3">
        <v>129</v>
      </c>
      <c r="E196" s="3">
        <v>53438</v>
      </c>
      <c r="F196" s="3">
        <v>52687</v>
      </c>
      <c r="G196" s="3">
        <v>223</v>
      </c>
      <c r="H196" s="5">
        <v>1957</v>
      </c>
      <c r="I196" s="5">
        <v>76</v>
      </c>
      <c r="J196" s="5">
        <v>6.09</v>
      </c>
    </row>
    <row r="197" spans="1:10" x14ac:dyDescent="0.3">
      <c r="A197" s="5" t="s">
        <v>324</v>
      </c>
      <c r="B197" s="3">
        <v>4350</v>
      </c>
      <c r="C197" s="3">
        <v>771</v>
      </c>
      <c r="D197" s="3">
        <v>7</v>
      </c>
      <c r="E197" s="3">
        <v>60900</v>
      </c>
      <c r="F197" s="3">
        <v>60592</v>
      </c>
      <c r="G197" s="3">
        <v>195</v>
      </c>
      <c r="H197" s="5">
        <v>405</v>
      </c>
      <c r="I197" s="5">
        <v>66</v>
      </c>
      <c r="J197" s="5">
        <v>5.59</v>
      </c>
    </row>
    <row r="198" spans="1:10" x14ac:dyDescent="0.3">
      <c r="A198" s="5" t="s">
        <v>311</v>
      </c>
      <c r="B198" s="3">
        <v>914</v>
      </c>
      <c r="C198" s="3">
        <v>464</v>
      </c>
      <c r="D198" s="3">
        <v>246</v>
      </c>
      <c r="E198" s="3">
        <v>11882</v>
      </c>
      <c r="F198" s="3">
        <v>11500</v>
      </c>
      <c r="G198" s="3">
        <v>282</v>
      </c>
      <c r="H198" s="5">
        <v>1581</v>
      </c>
      <c r="I198" s="5">
        <v>71</v>
      </c>
      <c r="J198" s="5">
        <v>3.55</v>
      </c>
    </row>
    <row r="199" spans="1:10" x14ac:dyDescent="0.3">
      <c r="A199" s="5" t="s">
        <v>316</v>
      </c>
      <c r="B199" s="3">
        <v>1813</v>
      </c>
      <c r="C199" s="3">
        <v>623</v>
      </c>
      <c r="D199" s="3">
        <v>72</v>
      </c>
      <c r="E199" s="3">
        <v>19943</v>
      </c>
      <c r="F199" s="3">
        <v>18959</v>
      </c>
      <c r="G199" s="3">
        <v>85</v>
      </c>
      <c r="H199" s="5">
        <v>1035</v>
      </c>
      <c r="I199" s="5">
        <v>171</v>
      </c>
      <c r="J199" s="5">
        <v>5.21</v>
      </c>
    </row>
    <row r="200" spans="1:10" x14ac:dyDescent="0.3">
      <c r="A200" s="5" t="s">
        <v>319</v>
      </c>
      <c r="B200" s="3">
        <v>4782</v>
      </c>
      <c r="C200" s="3">
        <v>721</v>
      </c>
      <c r="D200" s="3">
        <v>82</v>
      </c>
      <c r="E200" s="3">
        <v>86076</v>
      </c>
      <c r="F200" s="3">
        <v>85339</v>
      </c>
      <c r="G200" s="3">
        <v>19</v>
      </c>
      <c r="H200" s="5">
        <v>1765</v>
      </c>
      <c r="I200" s="5">
        <v>109</v>
      </c>
      <c r="J200" s="5">
        <v>1.82</v>
      </c>
    </row>
    <row r="201" spans="1:10" x14ac:dyDescent="0.3">
      <c r="A201" s="5" t="s">
        <v>324</v>
      </c>
      <c r="B201" s="3">
        <v>1048</v>
      </c>
      <c r="C201" s="3">
        <v>374</v>
      </c>
      <c r="D201" s="3">
        <v>450</v>
      </c>
      <c r="E201" s="3">
        <v>9432</v>
      </c>
      <c r="F201" s="3">
        <v>8882</v>
      </c>
      <c r="G201" s="3">
        <v>158</v>
      </c>
      <c r="H201" s="5">
        <v>837</v>
      </c>
      <c r="I201" s="5">
        <v>430</v>
      </c>
      <c r="J201" s="5">
        <v>4</v>
      </c>
    </row>
    <row r="202" spans="1:10" x14ac:dyDescent="0.3">
      <c r="A202" s="5" t="s">
        <v>311</v>
      </c>
      <c r="B202" s="3">
        <v>2509</v>
      </c>
      <c r="C202" s="3">
        <v>324</v>
      </c>
      <c r="D202" s="3">
        <v>171</v>
      </c>
      <c r="E202" s="3">
        <v>35126</v>
      </c>
      <c r="F202" s="3">
        <v>34685</v>
      </c>
      <c r="G202" s="3">
        <v>277</v>
      </c>
      <c r="H202" s="5">
        <v>337</v>
      </c>
      <c r="I202" s="5">
        <v>68</v>
      </c>
      <c r="J202" s="5">
        <v>7.57</v>
      </c>
    </row>
    <row r="203" spans="1:10" x14ac:dyDescent="0.3">
      <c r="A203" s="5" t="s">
        <v>316</v>
      </c>
      <c r="B203" s="3">
        <v>3718</v>
      </c>
      <c r="C203" s="3">
        <v>385</v>
      </c>
      <c r="D203" s="3">
        <v>310</v>
      </c>
      <c r="E203" s="3">
        <v>70642</v>
      </c>
      <c r="F203" s="3">
        <v>69749</v>
      </c>
      <c r="G203" s="3">
        <v>233</v>
      </c>
      <c r="H203" s="5">
        <v>119</v>
      </c>
      <c r="I203" s="5">
        <v>456</v>
      </c>
      <c r="J203" s="5">
        <v>6.81</v>
      </c>
    </row>
    <row r="204" spans="1:10" x14ac:dyDescent="0.3">
      <c r="A204" s="10"/>
      <c r="B204" s="3"/>
      <c r="C204" s="3"/>
      <c r="D204" s="3"/>
      <c r="E204" s="3"/>
      <c r="F204" s="3"/>
      <c r="G204" s="3"/>
      <c r="H204" s="17"/>
      <c r="I204" s="17"/>
    </row>
    <row r="205" spans="1:10" x14ac:dyDescent="0.3">
      <c r="A205" s="10"/>
      <c r="B205" s="3"/>
      <c r="C205" s="3"/>
      <c r="D205" s="3"/>
      <c r="E205" s="3"/>
      <c r="F205" s="3"/>
      <c r="G205" s="3"/>
      <c r="H205" s="17"/>
      <c r="I205" s="17"/>
    </row>
    <row r="206" spans="1:10" x14ac:dyDescent="0.3">
      <c r="A206" s="10"/>
      <c r="B206" s="3"/>
      <c r="C206" s="3"/>
      <c r="D206" s="3"/>
      <c r="E206" s="3"/>
      <c r="F206" s="3"/>
      <c r="G206" s="3"/>
      <c r="H206" s="17"/>
      <c r="I206" s="17"/>
    </row>
    <row r="207" spans="1:10" x14ac:dyDescent="0.3">
      <c r="A207" s="10"/>
      <c r="B207" s="3"/>
      <c r="C207" s="3"/>
      <c r="D207" s="3"/>
      <c r="E207" s="3"/>
      <c r="F207" s="3"/>
      <c r="G207" s="3"/>
      <c r="H207" s="17"/>
      <c r="I207" s="17"/>
    </row>
    <row r="208" spans="1:10" x14ac:dyDescent="0.3">
      <c r="A208" s="10"/>
      <c r="B208" s="3"/>
      <c r="C208" s="3"/>
      <c r="D208" s="3"/>
      <c r="E208" s="3"/>
      <c r="F208" s="3"/>
      <c r="G208" s="3"/>
      <c r="H208" s="17"/>
      <c r="I208" s="17"/>
    </row>
    <row r="209" spans="1:9" x14ac:dyDescent="0.3">
      <c r="A209" s="10"/>
      <c r="B209" s="3"/>
      <c r="C209" s="3"/>
      <c r="D209" s="3"/>
      <c r="E209" s="3"/>
      <c r="F209" s="3"/>
      <c r="G209" s="3"/>
      <c r="H209" s="17"/>
      <c r="I209" s="17"/>
    </row>
    <row r="210" spans="1:9" x14ac:dyDescent="0.3">
      <c r="A210" s="10"/>
      <c r="B210" s="3"/>
      <c r="C210" s="3"/>
      <c r="D210" s="3"/>
      <c r="E210" s="3"/>
      <c r="F210" s="3"/>
      <c r="G210" s="3"/>
      <c r="H210" s="17"/>
      <c r="I210" s="17"/>
    </row>
    <row r="211" spans="1:9" x14ac:dyDescent="0.3">
      <c r="A211" s="10"/>
      <c r="B211" s="3"/>
      <c r="C211" s="3"/>
      <c r="D211" s="3"/>
      <c r="E211" s="3"/>
      <c r="F211" s="3"/>
      <c r="G211" s="3"/>
      <c r="H211" s="17"/>
      <c r="I211" s="17"/>
    </row>
    <row r="212" spans="1:9" x14ac:dyDescent="0.3">
      <c r="A212" s="10"/>
      <c r="B212" s="3"/>
      <c r="C212" s="3"/>
      <c r="D212" s="3"/>
      <c r="E212" s="3"/>
      <c r="F212" s="3"/>
      <c r="G212" s="3"/>
      <c r="H212" s="17"/>
      <c r="I212" s="17"/>
    </row>
    <row r="213" spans="1:9" x14ac:dyDescent="0.3">
      <c r="A213" s="10"/>
      <c r="B213" s="3"/>
      <c r="C213" s="3"/>
      <c r="D213" s="3"/>
      <c r="E213" s="3"/>
      <c r="F213" s="3"/>
      <c r="G213" s="3"/>
      <c r="H213" s="17"/>
      <c r="I213" s="17"/>
    </row>
    <row r="214" spans="1:9" x14ac:dyDescent="0.3">
      <c r="A214" s="10"/>
      <c r="B214" s="3"/>
      <c r="C214" s="3"/>
      <c r="D214" s="3"/>
      <c r="E214" s="3"/>
      <c r="F214" s="3"/>
      <c r="G214" s="3"/>
      <c r="H214" s="17"/>
      <c r="I214" s="17"/>
    </row>
    <row r="215" spans="1:9" x14ac:dyDescent="0.3">
      <c r="A215" s="10"/>
      <c r="B215" s="3"/>
      <c r="C215" s="3"/>
      <c r="D215" s="3"/>
      <c r="E215" s="3"/>
      <c r="F215" s="3"/>
      <c r="G215" s="3"/>
      <c r="H215" s="17"/>
      <c r="I215" s="17"/>
    </row>
    <row r="216" spans="1:9" x14ac:dyDescent="0.3">
      <c r="A216" s="10"/>
      <c r="B216" s="3"/>
      <c r="C216" s="3"/>
      <c r="D216" s="3"/>
      <c r="E216" s="3"/>
      <c r="F216" s="3"/>
      <c r="G216" s="3"/>
      <c r="H216" s="17"/>
      <c r="I216" s="17"/>
    </row>
    <row r="217" spans="1:9" x14ac:dyDescent="0.3">
      <c r="A217" s="10"/>
      <c r="B217" s="3"/>
      <c r="C217" s="3"/>
      <c r="D217" s="3"/>
      <c r="E217" s="3"/>
      <c r="F217" s="3"/>
      <c r="G217" s="3"/>
      <c r="H217" s="17"/>
      <c r="I217" s="17"/>
    </row>
    <row r="218" spans="1:9" x14ac:dyDescent="0.3">
      <c r="A218" s="10"/>
      <c r="B218" s="3"/>
      <c r="C218" s="3"/>
      <c r="D218" s="3"/>
      <c r="E218" s="3"/>
      <c r="F218" s="3"/>
      <c r="G218" s="3"/>
      <c r="H218" s="17"/>
      <c r="I218" s="17"/>
    </row>
    <row r="219" spans="1:9" x14ac:dyDescent="0.3">
      <c r="A219" s="10"/>
      <c r="B219" s="3"/>
      <c r="C219" s="3"/>
      <c r="D219" s="3"/>
      <c r="E219" s="3"/>
      <c r="F219" s="3"/>
      <c r="G219" s="3"/>
      <c r="H219" s="17"/>
      <c r="I219" s="17"/>
    </row>
    <row r="220" spans="1:9" x14ac:dyDescent="0.3">
      <c r="A220" s="10"/>
      <c r="B220" s="3"/>
      <c r="C220" s="3"/>
      <c r="D220" s="3"/>
      <c r="E220" s="3"/>
      <c r="F220" s="3"/>
      <c r="G220" s="3"/>
      <c r="H220" s="17"/>
      <c r="I220" s="17"/>
    </row>
    <row r="221" spans="1:9" x14ac:dyDescent="0.3">
      <c r="A221" s="10"/>
      <c r="B221" s="3"/>
      <c r="C221" s="3"/>
      <c r="D221" s="3"/>
      <c r="E221" s="3"/>
      <c r="F221" s="3"/>
      <c r="G221" s="3"/>
      <c r="H221" s="17"/>
      <c r="I221" s="17"/>
    </row>
    <row r="222" spans="1:9" x14ac:dyDescent="0.3">
      <c r="A222" s="10"/>
      <c r="B222" s="3"/>
      <c r="C222" s="3"/>
      <c r="D222" s="3"/>
      <c r="E222" s="3"/>
      <c r="F222" s="3"/>
      <c r="G222" s="3"/>
      <c r="H222" s="17"/>
      <c r="I222" s="17"/>
    </row>
    <row r="223" spans="1:9" x14ac:dyDescent="0.3">
      <c r="A223" s="10"/>
      <c r="B223" s="3"/>
      <c r="C223" s="3"/>
      <c r="D223" s="3"/>
      <c r="E223" s="3"/>
      <c r="F223" s="3"/>
      <c r="G223" s="3"/>
      <c r="H223" s="17"/>
      <c r="I223" s="17"/>
    </row>
    <row r="224" spans="1:9" x14ac:dyDescent="0.3">
      <c r="A224" s="10"/>
      <c r="B224" s="3"/>
      <c r="C224" s="3"/>
      <c r="D224" s="3"/>
      <c r="E224" s="3"/>
      <c r="F224" s="3"/>
      <c r="G224" s="3"/>
      <c r="H224" s="17"/>
      <c r="I224" s="17"/>
    </row>
    <row r="225" spans="1:9" x14ac:dyDescent="0.3">
      <c r="A225" s="10"/>
      <c r="B225" s="3"/>
      <c r="C225" s="3"/>
      <c r="D225" s="3"/>
      <c r="E225" s="3"/>
      <c r="F225" s="3"/>
      <c r="G225" s="3"/>
      <c r="H225" s="17"/>
      <c r="I225" s="17"/>
    </row>
    <row r="226" spans="1:9" x14ac:dyDescent="0.3">
      <c r="A226" s="10"/>
      <c r="B226" s="3"/>
      <c r="C226" s="3"/>
      <c r="D226" s="3"/>
      <c r="E226" s="3"/>
      <c r="F226" s="3"/>
      <c r="G226" s="3"/>
      <c r="H226" s="17"/>
      <c r="I226" s="17"/>
    </row>
    <row r="227" spans="1:9" x14ac:dyDescent="0.3">
      <c r="A227" s="10"/>
      <c r="B227" s="3"/>
      <c r="C227" s="3"/>
      <c r="D227" s="3"/>
      <c r="E227" s="3"/>
      <c r="F227" s="3"/>
      <c r="G227" s="3"/>
      <c r="H227" s="17"/>
      <c r="I227" s="17"/>
    </row>
    <row r="228" spans="1:9" x14ac:dyDescent="0.3">
      <c r="A228" s="10"/>
      <c r="B228" s="3"/>
      <c r="C228" s="3"/>
      <c r="D228" s="3"/>
      <c r="E228" s="3"/>
      <c r="F228" s="3"/>
      <c r="G228" s="3"/>
      <c r="H228" s="17"/>
      <c r="I228" s="17"/>
    </row>
    <row r="229" spans="1:9" x14ac:dyDescent="0.3">
      <c r="A229" s="10"/>
      <c r="B229" s="3"/>
      <c r="C229" s="3"/>
      <c r="D229" s="3"/>
      <c r="E229" s="3"/>
      <c r="F229" s="3"/>
      <c r="G229" s="3"/>
      <c r="H229" s="17"/>
      <c r="I229" s="17"/>
    </row>
    <row r="230" spans="1:9" x14ac:dyDescent="0.3">
      <c r="A230" s="10"/>
      <c r="B230" s="3"/>
      <c r="C230" s="3"/>
      <c r="D230" s="3"/>
      <c r="E230" s="3"/>
      <c r="F230" s="3"/>
      <c r="G230" s="3"/>
      <c r="H230" s="17"/>
      <c r="I230" s="17"/>
    </row>
    <row r="231" spans="1:9" x14ac:dyDescent="0.3">
      <c r="A231" s="10"/>
      <c r="B231" s="3"/>
      <c r="C231" s="3"/>
      <c r="D231" s="3"/>
      <c r="E231" s="3"/>
      <c r="F231" s="3"/>
      <c r="G231" s="3"/>
      <c r="H231" s="17"/>
      <c r="I231" s="17"/>
    </row>
    <row r="232" spans="1:9" x14ac:dyDescent="0.3">
      <c r="A232" s="10"/>
      <c r="B232" s="3"/>
      <c r="C232" s="3"/>
      <c r="D232" s="3"/>
      <c r="E232" s="3"/>
      <c r="F232" s="3"/>
      <c r="G232" s="3"/>
      <c r="H232" s="17"/>
      <c r="I232" s="17"/>
    </row>
    <row r="233" spans="1:9" x14ac:dyDescent="0.3">
      <c r="A233" s="10"/>
      <c r="B233" s="3"/>
      <c r="C233" s="3"/>
      <c r="D233" s="3"/>
      <c r="E233" s="3"/>
      <c r="F233" s="3"/>
      <c r="G233" s="3"/>
      <c r="H233" s="17"/>
      <c r="I233" s="17"/>
    </row>
    <row r="234" spans="1:9" x14ac:dyDescent="0.3">
      <c r="A234" s="10"/>
      <c r="B234" s="3"/>
      <c r="C234" s="3"/>
      <c r="D234" s="3"/>
      <c r="E234" s="3"/>
      <c r="F234" s="3"/>
      <c r="G234" s="3"/>
      <c r="H234" s="17"/>
      <c r="I234" s="17"/>
    </row>
    <row r="235" spans="1:9" x14ac:dyDescent="0.3">
      <c r="A235" s="10"/>
      <c r="B235" s="3"/>
      <c r="C235" s="3"/>
      <c r="D235" s="3"/>
      <c r="E235" s="3"/>
      <c r="F235" s="3"/>
      <c r="G235" s="3"/>
      <c r="H235" s="17"/>
      <c r="I235" s="17"/>
    </row>
    <row r="236" spans="1:9" x14ac:dyDescent="0.3">
      <c r="A236" s="10"/>
      <c r="B236" s="3"/>
      <c r="C236" s="3"/>
      <c r="D236" s="3"/>
      <c r="E236" s="3"/>
      <c r="F236" s="3"/>
      <c r="G236" s="3"/>
      <c r="H236" s="17"/>
      <c r="I236" s="17"/>
    </row>
    <row r="237" spans="1:9" x14ac:dyDescent="0.3">
      <c r="A237" s="10"/>
      <c r="B237" s="3"/>
      <c r="C237" s="3"/>
      <c r="D237" s="3"/>
      <c r="E237" s="3"/>
      <c r="F237" s="3"/>
      <c r="G237" s="3"/>
      <c r="H237" s="17"/>
      <c r="I237" s="17"/>
    </row>
    <row r="238" spans="1:9" x14ac:dyDescent="0.3">
      <c r="A238" s="10"/>
      <c r="B238" s="3"/>
      <c r="C238" s="3"/>
      <c r="D238" s="3"/>
      <c r="E238" s="3"/>
      <c r="F238" s="3"/>
      <c r="G238" s="3"/>
      <c r="H238" s="17"/>
      <c r="I238" s="17"/>
    </row>
    <row r="239" spans="1:9" x14ac:dyDescent="0.3">
      <c r="A239" s="10"/>
      <c r="B239" s="3"/>
      <c r="C239" s="3"/>
      <c r="D239" s="3"/>
      <c r="E239" s="3"/>
      <c r="F239" s="3"/>
      <c r="G239" s="3"/>
      <c r="H239" s="17"/>
      <c r="I239" s="17"/>
    </row>
    <row r="240" spans="1:9" x14ac:dyDescent="0.3">
      <c r="A240" s="10"/>
      <c r="B240" s="3"/>
      <c r="C240" s="3"/>
      <c r="D240" s="3"/>
      <c r="E240" s="3"/>
      <c r="F240" s="3"/>
      <c r="G240" s="3"/>
      <c r="H240" s="17"/>
      <c r="I240" s="17"/>
    </row>
    <row r="241" spans="1:9" x14ac:dyDescent="0.3">
      <c r="A241" s="10"/>
      <c r="B241" s="3"/>
      <c r="C241" s="3"/>
      <c r="D241" s="3"/>
      <c r="E241" s="3"/>
      <c r="F241" s="3"/>
      <c r="G241" s="3"/>
      <c r="H241" s="17"/>
      <c r="I241" s="17"/>
    </row>
    <row r="242" spans="1:9" x14ac:dyDescent="0.3">
      <c r="A242" s="10"/>
      <c r="B242" s="3"/>
      <c r="C242" s="3"/>
      <c r="D242" s="3"/>
      <c r="E242" s="3"/>
      <c r="F242" s="3"/>
      <c r="G242" s="3"/>
      <c r="H242" s="17"/>
      <c r="I242" s="17"/>
    </row>
    <row r="243" spans="1:9" x14ac:dyDescent="0.3">
      <c r="A243" s="10"/>
      <c r="B243" s="3"/>
      <c r="C243" s="3"/>
      <c r="D243" s="3"/>
      <c r="E243" s="3"/>
      <c r="F243" s="3"/>
      <c r="G243" s="3"/>
      <c r="H243" s="17"/>
      <c r="I243" s="17"/>
    </row>
    <row r="244" spans="1:9" x14ac:dyDescent="0.3">
      <c r="A244" s="10"/>
      <c r="B244" s="3"/>
      <c r="C244" s="3"/>
      <c r="D244" s="3"/>
      <c r="E244" s="3"/>
      <c r="F244" s="3"/>
      <c r="G244" s="3"/>
      <c r="H244" s="17"/>
      <c r="I244" s="17"/>
    </row>
    <row r="245" spans="1:9" x14ac:dyDescent="0.3">
      <c r="A245" s="10"/>
      <c r="B245" s="3"/>
      <c r="C245" s="3"/>
      <c r="D245" s="3"/>
      <c r="E245" s="3"/>
      <c r="F245" s="3"/>
      <c r="G245" s="3"/>
      <c r="H245" s="17"/>
      <c r="I245" s="17"/>
    </row>
    <row r="246" spans="1:9" x14ac:dyDescent="0.3">
      <c r="A246" s="10"/>
      <c r="B246" s="3"/>
      <c r="C246" s="3"/>
      <c r="D246" s="3"/>
      <c r="E246" s="3"/>
      <c r="F246" s="3"/>
      <c r="G246" s="3"/>
      <c r="H246" s="17"/>
      <c r="I246" s="17"/>
    </row>
    <row r="247" spans="1:9" x14ac:dyDescent="0.3">
      <c r="A247" s="10"/>
      <c r="B247" s="3"/>
      <c r="C247" s="3"/>
      <c r="D247" s="3"/>
      <c r="E247" s="3"/>
      <c r="F247" s="3"/>
      <c r="G247" s="3"/>
      <c r="H247" s="17"/>
      <c r="I247" s="17"/>
    </row>
    <row r="248" spans="1:9" x14ac:dyDescent="0.3">
      <c r="A248" s="10"/>
      <c r="B248" s="3"/>
      <c r="C248" s="3"/>
      <c r="D248" s="3"/>
      <c r="E248" s="3"/>
      <c r="F248" s="3"/>
      <c r="G248" s="3"/>
      <c r="H248" s="17"/>
      <c r="I248" s="17"/>
    </row>
    <row r="249" spans="1:9" x14ac:dyDescent="0.3">
      <c r="A249" s="10"/>
      <c r="B249" s="3"/>
      <c r="C249" s="3"/>
      <c r="D249" s="3"/>
      <c r="E249" s="3"/>
      <c r="F249" s="3"/>
      <c r="G249" s="3"/>
      <c r="H249" s="17"/>
      <c r="I249" s="17"/>
    </row>
    <row r="250" spans="1:9" x14ac:dyDescent="0.3">
      <c r="A250" s="10"/>
      <c r="B250" s="3"/>
      <c r="C250" s="3"/>
      <c r="D250" s="3"/>
      <c r="E250" s="3"/>
      <c r="F250" s="3"/>
      <c r="G250" s="3"/>
      <c r="H250" s="17"/>
      <c r="I250" s="17"/>
    </row>
    <row r="251" spans="1:9" x14ac:dyDescent="0.3">
      <c r="A251" s="10"/>
      <c r="B251" s="3"/>
      <c r="C251" s="3"/>
      <c r="D251" s="3"/>
      <c r="E251" s="3"/>
      <c r="F251" s="3"/>
      <c r="G251" s="3"/>
      <c r="H251" s="17"/>
      <c r="I251" s="17"/>
    </row>
    <row r="252" spans="1:9" x14ac:dyDescent="0.3">
      <c r="A252" s="10"/>
      <c r="B252" s="3"/>
      <c r="C252" s="3"/>
      <c r="D252" s="3"/>
      <c r="E252" s="3"/>
      <c r="F252" s="3"/>
      <c r="G252" s="3"/>
      <c r="H252" s="17"/>
      <c r="I252" s="17"/>
    </row>
    <row r="253" spans="1:9" x14ac:dyDescent="0.3">
      <c r="A253" s="10"/>
      <c r="B253" s="3"/>
      <c r="C253" s="3"/>
      <c r="D253" s="3"/>
      <c r="E253" s="3"/>
      <c r="F253" s="3"/>
      <c r="G253" s="3"/>
      <c r="H253" s="17"/>
      <c r="I253" s="17"/>
    </row>
    <row r="254" spans="1:9" x14ac:dyDescent="0.3">
      <c r="A254" s="10"/>
      <c r="B254" s="3"/>
      <c r="C254" s="3"/>
      <c r="D254" s="3"/>
      <c r="E254" s="3"/>
      <c r="F254" s="3"/>
      <c r="G254" s="3"/>
      <c r="H254" s="17"/>
      <c r="I254" s="17"/>
    </row>
    <row r="255" spans="1:9" x14ac:dyDescent="0.3">
      <c r="A255" s="10"/>
      <c r="B255" s="3"/>
      <c r="C255" s="3"/>
      <c r="D255" s="3"/>
      <c r="E255" s="3"/>
      <c r="F255" s="3"/>
      <c r="G255" s="3"/>
      <c r="H255" s="17"/>
      <c r="I255" s="17"/>
    </row>
    <row r="256" spans="1:9" x14ac:dyDescent="0.3">
      <c r="A256" s="10"/>
      <c r="B256" s="3"/>
      <c r="C256" s="3"/>
      <c r="D256" s="3"/>
      <c r="E256" s="3"/>
      <c r="F256" s="3"/>
      <c r="G256" s="3"/>
      <c r="H256" s="17"/>
      <c r="I256" s="17"/>
    </row>
    <row r="257" spans="1:9" x14ac:dyDescent="0.3">
      <c r="A257" s="10"/>
      <c r="B257" s="3"/>
      <c r="C257" s="3"/>
      <c r="D257" s="3"/>
      <c r="E257" s="3"/>
      <c r="F257" s="3"/>
      <c r="G257" s="3"/>
      <c r="H257" s="17"/>
      <c r="I257" s="17"/>
    </row>
    <row r="258" spans="1:9" x14ac:dyDescent="0.3">
      <c r="A258" s="10"/>
      <c r="B258" s="3"/>
      <c r="C258" s="3"/>
      <c r="D258" s="3"/>
      <c r="E258" s="3"/>
      <c r="F258" s="3"/>
      <c r="G258" s="3"/>
      <c r="H258" s="17"/>
      <c r="I258" s="17"/>
    </row>
    <row r="259" spans="1:9" x14ac:dyDescent="0.3">
      <c r="A259" s="10"/>
      <c r="B259" s="3"/>
      <c r="C259" s="3"/>
      <c r="D259" s="3"/>
      <c r="E259" s="3"/>
      <c r="F259" s="3"/>
      <c r="G259" s="3"/>
      <c r="H259" s="17"/>
      <c r="I259" s="17"/>
    </row>
    <row r="260" spans="1:9" x14ac:dyDescent="0.3">
      <c r="A260" s="10"/>
      <c r="B260" s="3"/>
      <c r="C260" s="3"/>
      <c r="D260" s="3"/>
      <c r="E260" s="3"/>
      <c r="F260" s="3"/>
      <c r="G260" s="3"/>
      <c r="H260" s="17"/>
      <c r="I260" s="17"/>
    </row>
    <row r="261" spans="1:9" x14ac:dyDescent="0.3">
      <c r="A261" s="10"/>
      <c r="B261" s="3"/>
      <c r="C261" s="3"/>
      <c r="D261" s="3"/>
      <c r="E261" s="3"/>
      <c r="F261" s="3"/>
      <c r="G261" s="3"/>
      <c r="H261" s="17"/>
      <c r="I261" s="17"/>
    </row>
    <row r="262" spans="1:9" x14ac:dyDescent="0.3">
      <c r="A262" s="10"/>
      <c r="B262" s="3"/>
      <c r="C262" s="3"/>
      <c r="D262" s="3"/>
      <c r="E262" s="3"/>
      <c r="F262" s="3"/>
      <c r="G262" s="3"/>
      <c r="H262" s="17"/>
      <c r="I262" s="17"/>
    </row>
    <row r="263" spans="1:9" x14ac:dyDescent="0.3">
      <c r="A263" s="10"/>
      <c r="B263" s="3"/>
      <c r="C263" s="3"/>
      <c r="D263" s="3"/>
      <c r="E263" s="3"/>
      <c r="F263" s="3"/>
      <c r="G263" s="3"/>
      <c r="H263" s="17"/>
      <c r="I263" s="17"/>
    </row>
    <row r="264" spans="1:9" x14ac:dyDescent="0.3">
      <c r="A264" s="10"/>
      <c r="B264" s="3"/>
      <c r="C264" s="3"/>
      <c r="D264" s="3"/>
      <c r="E264" s="3"/>
      <c r="F264" s="3"/>
      <c r="G264" s="3"/>
      <c r="H264" s="17"/>
      <c r="I264" s="17"/>
    </row>
    <row r="265" spans="1:9" x14ac:dyDescent="0.3">
      <c r="A265" s="10"/>
      <c r="B265" s="3"/>
      <c r="C265" s="3"/>
      <c r="D265" s="3"/>
      <c r="E265" s="3"/>
      <c r="F265" s="3"/>
      <c r="G265" s="3"/>
      <c r="H265" s="17"/>
      <c r="I265" s="17"/>
    </row>
    <row r="266" spans="1:9" x14ac:dyDescent="0.3">
      <c r="A266" s="10"/>
      <c r="B266" s="3"/>
      <c r="C266" s="3"/>
      <c r="D266" s="3"/>
      <c r="E266" s="3"/>
      <c r="F266" s="3"/>
      <c r="G266" s="3"/>
      <c r="H266" s="17"/>
      <c r="I266" s="17"/>
    </row>
    <row r="267" spans="1:9" x14ac:dyDescent="0.3">
      <c r="A267" s="10"/>
      <c r="B267" s="3"/>
      <c r="C267" s="3"/>
      <c r="D267" s="3"/>
      <c r="E267" s="3"/>
      <c r="F267" s="3"/>
      <c r="G267" s="3"/>
      <c r="H267" s="17"/>
      <c r="I267" s="17"/>
    </row>
    <row r="268" spans="1:9" x14ac:dyDescent="0.3">
      <c r="A268" s="10"/>
      <c r="B268" s="3"/>
      <c r="C268" s="3"/>
      <c r="D268" s="3"/>
      <c r="E268" s="3"/>
      <c r="F268" s="3"/>
      <c r="G268" s="3"/>
      <c r="H268" s="17"/>
      <c r="I268" s="17"/>
    </row>
    <row r="269" spans="1:9" x14ac:dyDescent="0.3">
      <c r="A269" s="10"/>
      <c r="B269" s="3"/>
      <c r="C269" s="3"/>
      <c r="D269" s="3"/>
      <c r="E269" s="3"/>
      <c r="F269" s="3"/>
      <c r="G269" s="3"/>
      <c r="H269" s="17"/>
      <c r="I269" s="17"/>
    </row>
    <row r="270" spans="1:9" x14ac:dyDescent="0.3">
      <c r="A270" s="10"/>
      <c r="B270" s="3"/>
      <c r="C270" s="3"/>
      <c r="D270" s="3"/>
      <c r="E270" s="3"/>
      <c r="F270" s="3"/>
      <c r="G270" s="3"/>
      <c r="H270" s="17"/>
      <c r="I270" s="17"/>
    </row>
    <row r="271" spans="1:9" x14ac:dyDescent="0.3">
      <c r="A271" s="10"/>
      <c r="B271" s="3"/>
      <c r="C271" s="3"/>
      <c r="D271" s="3"/>
      <c r="E271" s="3"/>
      <c r="F271" s="3"/>
      <c r="G271" s="3"/>
      <c r="H271" s="17"/>
      <c r="I271" s="17"/>
    </row>
    <row r="272" spans="1:9" x14ac:dyDescent="0.3">
      <c r="A272" s="10"/>
      <c r="B272" s="3"/>
      <c r="C272" s="3"/>
      <c r="D272" s="3"/>
      <c r="E272" s="3"/>
      <c r="F272" s="3"/>
      <c r="G272" s="3"/>
      <c r="H272" s="17"/>
      <c r="I272" s="17"/>
    </row>
    <row r="273" spans="1:9" x14ac:dyDescent="0.3">
      <c r="A273" s="10"/>
      <c r="B273" s="3"/>
      <c r="C273" s="3"/>
      <c r="D273" s="3"/>
      <c r="E273" s="3"/>
      <c r="F273" s="3"/>
      <c r="G273" s="3"/>
      <c r="H273" s="17"/>
      <c r="I273" s="17"/>
    </row>
    <row r="274" spans="1:9" x14ac:dyDescent="0.3">
      <c r="A274" s="10"/>
      <c r="B274" s="3"/>
      <c r="C274" s="3"/>
      <c r="D274" s="3"/>
      <c r="E274" s="3"/>
      <c r="F274" s="3"/>
      <c r="G274" s="3"/>
      <c r="H274" s="17"/>
      <c r="I274" s="17"/>
    </row>
    <row r="275" spans="1:9" x14ac:dyDescent="0.3">
      <c r="A275" s="10"/>
      <c r="B275" s="3"/>
      <c r="C275" s="3"/>
      <c r="D275" s="3"/>
      <c r="E275" s="3"/>
      <c r="F275" s="3"/>
      <c r="G275" s="3"/>
      <c r="H275" s="17"/>
      <c r="I275" s="17"/>
    </row>
    <row r="276" spans="1:9" x14ac:dyDescent="0.3">
      <c r="A276" s="10"/>
      <c r="B276" s="3"/>
      <c r="C276" s="3"/>
      <c r="D276" s="3"/>
      <c r="E276" s="3"/>
      <c r="F276" s="3"/>
      <c r="G276" s="3"/>
      <c r="H276" s="17"/>
      <c r="I276" s="17"/>
    </row>
    <row r="277" spans="1:9" x14ac:dyDescent="0.3">
      <c r="A277" s="10"/>
      <c r="B277" s="3"/>
      <c r="C277" s="3"/>
      <c r="D277" s="3"/>
      <c r="E277" s="3"/>
      <c r="F277" s="3"/>
      <c r="G277" s="3"/>
      <c r="H277" s="17"/>
      <c r="I277" s="17"/>
    </row>
    <row r="278" spans="1:9" x14ac:dyDescent="0.3">
      <c r="A278" s="10"/>
      <c r="B278" s="3"/>
      <c r="C278" s="3"/>
      <c r="D278" s="3"/>
      <c r="E278" s="3"/>
      <c r="F278" s="3"/>
      <c r="G278" s="3"/>
      <c r="H278" s="17"/>
      <c r="I278" s="17"/>
    </row>
    <row r="279" spans="1:9" x14ac:dyDescent="0.3">
      <c r="A279" s="10"/>
      <c r="B279" s="3"/>
      <c r="C279" s="3"/>
      <c r="D279" s="3"/>
      <c r="E279" s="3"/>
      <c r="F279" s="3"/>
      <c r="G279" s="3"/>
      <c r="H279" s="17"/>
      <c r="I279" s="17"/>
    </row>
    <row r="280" spans="1:9" x14ac:dyDescent="0.3">
      <c r="A280" s="10"/>
      <c r="B280" s="3"/>
      <c r="C280" s="3"/>
      <c r="D280" s="3"/>
      <c r="E280" s="3"/>
      <c r="F280" s="3"/>
      <c r="G280" s="3"/>
      <c r="H280" s="17"/>
      <c r="I280" s="17"/>
    </row>
    <row r="281" spans="1:9" x14ac:dyDescent="0.3">
      <c r="A281" s="10"/>
      <c r="B281" s="3"/>
      <c r="C281" s="3"/>
      <c r="D281" s="3"/>
      <c r="E281" s="3"/>
      <c r="F281" s="3"/>
      <c r="G281" s="3"/>
      <c r="H281" s="17"/>
      <c r="I281" s="17"/>
    </row>
    <row r="282" spans="1:9" x14ac:dyDescent="0.3">
      <c r="A282" s="10"/>
      <c r="B282" s="3"/>
      <c r="C282" s="3"/>
      <c r="D282" s="3"/>
      <c r="E282" s="3"/>
      <c r="F282" s="3"/>
      <c r="G282" s="3"/>
      <c r="H282" s="17"/>
      <c r="I282" s="17"/>
    </row>
    <row r="283" spans="1:9" x14ac:dyDescent="0.3">
      <c r="A283" s="10"/>
      <c r="B283" s="3"/>
      <c r="C283" s="3"/>
      <c r="D283" s="3"/>
      <c r="E283" s="3"/>
      <c r="F283" s="3"/>
      <c r="G283" s="3"/>
      <c r="H283" s="17"/>
      <c r="I283" s="17"/>
    </row>
    <row r="284" spans="1:9" x14ac:dyDescent="0.3">
      <c r="A284" s="10"/>
      <c r="B284" s="3"/>
      <c r="C284" s="3"/>
      <c r="D284" s="3"/>
      <c r="E284" s="3"/>
      <c r="F284" s="3"/>
      <c r="G284" s="3"/>
      <c r="H284" s="17"/>
      <c r="I284" s="17"/>
    </row>
    <row r="285" spans="1:9" x14ac:dyDescent="0.3">
      <c r="A285" s="10"/>
      <c r="B285" s="3"/>
      <c r="C285" s="3"/>
      <c r="D285" s="3"/>
      <c r="E285" s="3"/>
      <c r="F285" s="3"/>
      <c r="G285" s="3"/>
      <c r="H285" s="17"/>
      <c r="I285" s="17"/>
    </row>
    <row r="286" spans="1:9" x14ac:dyDescent="0.3">
      <c r="A286" s="10"/>
      <c r="B286" s="3"/>
      <c r="C286" s="3"/>
      <c r="D286" s="3"/>
      <c r="E286" s="3"/>
      <c r="F286" s="3"/>
      <c r="G286" s="3"/>
      <c r="H286" s="17"/>
      <c r="I286" s="17"/>
    </row>
    <row r="287" spans="1:9" x14ac:dyDescent="0.3">
      <c r="A287" s="10"/>
      <c r="B287" s="3"/>
      <c r="C287" s="3"/>
      <c r="D287" s="3"/>
      <c r="E287" s="3"/>
      <c r="F287" s="3"/>
      <c r="G287" s="3"/>
      <c r="H287" s="17"/>
      <c r="I287" s="17"/>
    </row>
    <row r="288" spans="1:9" x14ac:dyDescent="0.3">
      <c r="A288" s="10"/>
      <c r="B288" s="3"/>
      <c r="C288" s="3"/>
      <c r="D288" s="3"/>
      <c r="E288" s="3"/>
      <c r="F288" s="3"/>
      <c r="G288" s="3"/>
      <c r="H288" s="17"/>
      <c r="I288" s="17"/>
    </row>
    <row r="289" spans="1:9" x14ac:dyDescent="0.3">
      <c r="A289" s="10"/>
      <c r="B289" s="3"/>
      <c r="C289" s="3"/>
      <c r="D289" s="3"/>
      <c r="E289" s="3"/>
      <c r="F289" s="3"/>
      <c r="G289" s="3"/>
      <c r="H289" s="17"/>
      <c r="I289" s="17"/>
    </row>
    <row r="290" spans="1:9" x14ac:dyDescent="0.3">
      <c r="A290" s="10"/>
      <c r="B290" s="3"/>
      <c r="C290" s="3"/>
      <c r="D290" s="3"/>
      <c r="E290" s="3"/>
      <c r="F290" s="3"/>
      <c r="G290" s="3"/>
      <c r="H290" s="17"/>
      <c r="I290" s="17"/>
    </row>
    <row r="291" spans="1:9" x14ac:dyDescent="0.3">
      <c r="A291" s="10"/>
      <c r="B291" s="3"/>
      <c r="C291" s="3"/>
      <c r="D291" s="3"/>
      <c r="E291" s="3"/>
      <c r="F291" s="3"/>
      <c r="G291" s="3"/>
      <c r="H291" s="17"/>
      <c r="I291" s="17"/>
    </row>
    <row r="292" spans="1:9" x14ac:dyDescent="0.3">
      <c r="A292" s="10"/>
      <c r="B292" s="3"/>
      <c r="C292" s="3"/>
      <c r="D292" s="3"/>
      <c r="E292" s="3"/>
      <c r="F292" s="3"/>
      <c r="G292" s="3"/>
      <c r="H292" s="17"/>
      <c r="I292" s="17"/>
    </row>
    <row r="293" spans="1:9" x14ac:dyDescent="0.3">
      <c r="A293" s="10"/>
      <c r="B293" s="3"/>
      <c r="C293" s="3"/>
      <c r="D293" s="3"/>
      <c r="E293" s="3"/>
      <c r="F293" s="3"/>
      <c r="G293" s="3"/>
      <c r="H293" s="17"/>
      <c r="I293" s="17"/>
    </row>
    <row r="294" spans="1:9" x14ac:dyDescent="0.3">
      <c r="A294" s="10"/>
      <c r="B294" s="3"/>
      <c r="C294" s="3"/>
      <c r="D294" s="3"/>
      <c r="E294" s="3"/>
      <c r="F294" s="3"/>
      <c r="G294" s="3"/>
      <c r="H294" s="17"/>
      <c r="I294" s="17"/>
    </row>
    <row r="295" spans="1:9" x14ac:dyDescent="0.3">
      <c r="A295" s="10"/>
      <c r="B295" s="3"/>
      <c r="C295" s="3"/>
      <c r="D295" s="3"/>
      <c r="E295" s="3"/>
      <c r="F295" s="3"/>
      <c r="G295" s="3"/>
      <c r="H295" s="17"/>
      <c r="I295" s="17"/>
    </row>
    <row r="296" spans="1:9" x14ac:dyDescent="0.3">
      <c r="A296" s="10"/>
      <c r="B296" s="3"/>
      <c r="C296" s="3"/>
      <c r="D296" s="3"/>
      <c r="E296" s="3"/>
      <c r="F296" s="3"/>
      <c r="G296" s="3"/>
      <c r="H296" s="17"/>
      <c r="I296" s="17"/>
    </row>
    <row r="297" spans="1:9" x14ac:dyDescent="0.3">
      <c r="A297" s="10"/>
      <c r="B297" s="3"/>
      <c r="C297" s="3"/>
      <c r="D297" s="3"/>
      <c r="E297" s="3"/>
      <c r="F297" s="3"/>
      <c r="G297" s="3"/>
      <c r="H297" s="17"/>
      <c r="I297" s="17"/>
    </row>
    <row r="298" spans="1:9" x14ac:dyDescent="0.3">
      <c r="A298" s="10"/>
      <c r="B298" s="3"/>
      <c r="C298" s="3"/>
      <c r="D298" s="3"/>
      <c r="E298" s="3"/>
      <c r="F298" s="3"/>
      <c r="G298" s="3"/>
      <c r="H298" s="17"/>
      <c r="I298" s="17"/>
    </row>
    <row r="299" spans="1:9" x14ac:dyDescent="0.3">
      <c r="A299" s="10"/>
      <c r="B299" s="3"/>
      <c r="C299" s="3"/>
      <c r="D299" s="3"/>
      <c r="E299" s="3"/>
      <c r="F299" s="3"/>
      <c r="G299" s="3"/>
      <c r="H299" s="17"/>
      <c r="I299" s="17"/>
    </row>
    <row r="300" spans="1:9" x14ac:dyDescent="0.3">
      <c r="A300" s="10"/>
      <c r="B300" s="3"/>
      <c r="C300" s="3"/>
      <c r="D300" s="3"/>
      <c r="E300" s="3"/>
      <c r="F300" s="3"/>
      <c r="G300" s="3"/>
      <c r="H300" s="17"/>
      <c r="I300" s="17"/>
    </row>
    <row r="301" spans="1:9" x14ac:dyDescent="0.3">
      <c r="A301" s="10"/>
      <c r="B301" s="3"/>
      <c r="C301" s="3"/>
      <c r="D301" s="3"/>
      <c r="E301" s="3"/>
      <c r="F301" s="3"/>
      <c r="G301" s="3"/>
      <c r="H301" s="17"/>
      <c r="I301" s="17"/>
    </row>
    <row r="302" spans="1:9" x14ac:dyDescent="0.3">
      <c r="A302" s="10"/>
      <c r="B302" s="3"/>
      <c r="C302" s="3"/>
      <c r="D302" s="3"/>
      <c r="E302" s="3"/>
      <c r="F302" s="3"/>
      <c r="G302" s="3"/>
      <c r="H302" s="17"/>
      <c r="I302" s="17"/>
    </row>
    <row r="303" spans="1:9" x14ac:dyDescent="0.3">
      <c r="A303" s="10"/>
      <c r="B303" s="3"/>
      <c r="C303" s="3"/>
      <c r="D303" s="3"/>
      <c r="E303" s="3"/>
      <c r="F303" s="3"/>
      <c r="G303" s="3"/>
      <c r="H303" s="17"/>
      <c r="I303" s="17"/>
    </row>
  </sheetData>
  <scenarios current="0" show="0">
    <scenario name="1-2 Platforms focused" locked="1" count="5" user="Shatrusudan Sharma">
      <inputCells r="N7" val="Sum of Engagement_Rate"/>
      <inputCells r="N8" val="285.78"/>
      <inputCells r="N9" val="282.79"/>
      <inputCells r="N10" val="282.43"/>
      <inputCells r="N11" val="277.94"/>
    </scenario>
    <scenario name="Multiple Platforms" locked="1" count="5" user="Shatrusudan Sharma">
      <inputCells r="N7" val="Sum of Engagement_Rate"/>
      <inputCells r="N8" val="285.78"/>
      <inputCells r="N9" val="282.79"/>
      <inputCells r="N10" val="282.43"/>
      <inputCells r="N11" val="277.94"/>
    </scenario>
  </scenarios>
  <pageMargins left="0.7" right="0.7" top="0.75" bottom="0.75" header="0.3" footer="0.3"/>
  <pageSetup orientation="portrait" r:id="rId3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8CE4B-A170-4FB4-9147-E503801CC82B}">
  <dimension ref="A1:R303"/>
  <sheetViews>
    <sheetView topLeftCell="H63" workbookViewId="0">
      <selection activeCell="M69" sqref="M69"/>
    </sheetView>
  </sheetViews>
  <sheetFormatPr defaultRowHeight="14.4" x14ac:dyDescent="0.3"/>
  <cols>
    <col min="1" max="1" width="18.21875" customWidth="1"/>
    <col min="2" max="2" width="17.77734375" customWidth="1"/>
    <col min="3" max="3" width="18.109375" customWidth="1"/>
    <col min="6" max="6" width="12.5546875" bestFit="1" customWidth="1"/>
    <col min="7" max="7" width="12.5546875" customWidth="1"/>
    <col min="8" max="8" width="14.21875" customWidth="1"/>
    <col min="9" max="9" width="12.21875" customWidth="1"/>
    <col min="10" max="10" width="22.77734375" bestFit="1" customWidth="1"/>
    <col min="11" max="11" width="14" bestFit="1" customWidth="1"/>
    <col min="12" max="13" width="14.33203125" customWidth="1"/>
    <col min="14" max="14" width="15.77734375" customWidth="1"/>
    <col min="15" max="15" width="14.33203125" customWidth="1"/>
    <col min="16" max="16" width="9.44140625" customWidth="1"/>
    <col min="17" max="17" width="10.21875" customWidth="1"/>
    <col min="18" max="18" width="10.77734375" bestFit="1" customWidth="1"/>
    <col min="19" max="19" width="13.109375" bestFit="1" customWidth="1"/>
    <col min="20" max="20" width="20.33203125" bestFit="1" customWidth="1"/>
    <col min="21" max="21" width="13.109375" bestFit="1" customWidth="1"/>
    <col min="22" max="22" width="20.33203125" bestFit="1" customWidth="1"/>
    <col min="23" max="23" width="13.109375" bestFit="1" customWidth="1"/>
    <col min="24" max="24" width="20.33203125" bestFit="1" customWidth="1"/>
    <col min="25" max="25" width="13.109375" bestFit="1" customWidth="1"/>
    <col min="26" max="26" width="20.33203125" bestFit="1" customWidth="1"/>
    <col min="27" max="27" width="13.109375" bestFit="1" customWidth="1"/>
    <col min="28" max="28" width="20.33203125" bestFit="1" customWidth="1"/>
    <col min="29" max="29" width="13.109375" bestFit="1" customWidth="1"/>
    <col min="30" max="30" width="20.33203125" bestFit="1" customWidth="1"/>
    <col min="31" max="31" width="13.109375" bestFit="1" customWidth="1"/>
    <col min="32" max="32" width="20.33203125" bestFit="1" customWidth="1"/>
    <col min="33" max="33" width="13.109375" bestFit="1" customWidth="1"/>
    <col min="34" max="34" width="20.33203125" bestFit="1" customWidth="1"/>
    <col min="35" max="35" width="13.109375" bestFit="1" customWidth="1"/>
    <col min="36" max="36" width="20.33203125" bestFit="1" customWidth="1"/>
    <col min="37" max="37" width="13.109375" bestFit="1" customWidth="1"/>
    <col min="38" max="38" width="20.33203125" bestFit="1" customWidth="1"/>
    <col min="39" max="39" width="13.109375" bestFit="1" customWidth="1"/>
    <col min="40" max="40" width="20.33203125" bestFit="1" customWidth="1"/>
    <col min="41" max="41" width="13.109375" bestFit="1" customWidth="1"/>
    <col min="42" max="42" width="20.33203125" bestFit="1" customWidth="1"/>
    <col min="43" max="43" width="13.109375" bestFit="1" customWidth="1"/>
    <col min="44" max="44" width="20.33203125" bestFit="1" customWidth="1"/>
    <col min="45" max="45" width="13.109375" bestFit="1" customWidth="1"/>
    <col min="46" max="46" width="20.33203125" bestFit="1" customWidth="1"/>
    <col min="47" max="47" width="13.109375" bestFit="1" customWidth="1"/>
    <col min="48" max="48" width="20.33203125" bestFit="1" customWidth="1"/>
    <col min="49" max="49" width="13.109375" bestFit="1" customWidth="1"/>
    <col min="50" max="50" width="20.33203125" bestFit="1" customWidth="1"/>
    <col min="51" max="51" width="13.109375" bestFit="1" customWidth="1"/>
    <col min="52" max="52" width="20.33203125" bestFit="1" customWidth="1"/>
    <col min="53" max="53" width="13.109375" bestFit="1" customWidth="1"/>
    <col min="54" max="54" width="20.33203125" bestFit="1" customWidth="1"/>
    <col min="55" max="55" width="13.109375" bestFit="1" customWidth="1"/>
    <col min="56" max="56" width="20.33203125" bestFit="1" customWidth="1"/>
    <col min="57" max="57" width="13.109375" bestFit="1" customWidth="1"/>
    <col min="58" max="58" width="20.33203125" bestFit="1" customWidth="1"/>
    <col min="59" max="59" width="13.109375" bestFit="1" customWidth="1"/>
    <col min="60" max="60" width="20.33203125" bestFit="1" customWidth="1"/>
    <col min="61" max="61" width="13.109375" bestFit="1" customWidth="1"/>
    <col min="62" max="62" width="20.33203125" bestFit="1" customWidth="1"/>
    <col min="63" max="63" width="13.109375" bestFit="1" customWidth="1"/>
    <col min="64" max="64" width="20.33203125" bestFit="1" customWidth="1"/>
    <col min="65" max="65" width="13.109375" bestFit="1" customWidth="1"/>
    <col min="66" max="66" width="20.33203125" bestFit="1" customWidth="1"/>
    <col min="67" max="67" width="13.109375" bestFit="1" customWidth="1"/>
    <col min="68" max="68" width="20.33203125" bestFit="1" customWidth="1"/>
    <col min="69" max="69" width="13.109375" bestFit="1" customWidth="1"/>
    <col min="70" max="70" width="20.33203125" bestFit="1" customWidth="1"/>
    <col min="71" max="71" width="13.109375" bestFit="1" customWidth="1"/>
    <col min="72" max="72" width="20.33203125" bestFit="1" customWidth="1"/>
    <col min="73" max="73" width="13.109375" bestFit="1" customWidth="1"/>
    <col min="74" max="74" width="20.33203125" bestFit="1" customWidth="1"/>
    <col min="75" max="75" width="13.109375" bestFit="1" customWidth="1"/>
    <col min="76" max="76" width="20.33203125" bestFit="1" customWidth="1"/>
    <col min="77" max="77" width="13.109375" bestFit="1" customWidth="1"/>
    <col min="78" max="78" width="20.33203125" bestFit="1" customWidth="1"/>
    <col min="79" max="79" width="13.109375" bestFit="1" customWidth="1"/>
    <col min="80" max="80" width="20.33203125" bestFit="1" customWidth="1"/>
    <col min="81" max="81" width="13.109375" bestFit="1" customWidth="1"/>
    <col min="82" max="82" width="20.33203125" bestFit="1" customWidth="1"/>
    <col min="83" max="83" width="13.109375" bestFit="1" customWidth="1"/>
    <col min="84" max="84" width="20.33203125" bestFit="1" customWidth="1"/>
    <col min="85" max="85" width="13.109375" bestFit="1" customWidth="1"/>
    <col min="86" max="86" width="20.33203125" bestFit="1" customWidth="1"/>
    <col min="87" max="87" width="13.109375" bestFit="1" customWidth="1"/>
    <col min="88" max="88" width="20.33203125" bestFit="1" customWidth="1"/>
    <col min="89" max="89" width="13.109375" bestFit="1" customWidth="1"/>
    <col min="90" max="90" width="20.33203125" bestFit="1" customWidth="1"/>
    <col min="91" max="91" width="13.109375" bestFit="1" customWidth="1"/>
    <col min="92" max="92" width="20.33203125" bestFit="1" customWidth="1"/>
    <col min="93" max="93" width="13.109375" bestFit="1" customWidth="1"/>
    <col min="94" max="94" width="20.33203125" bestFit="1" customWidth="1"/>
    <col min="95" max="95" width="13.109375" bestFit="1" customWidth="1"/>
    <col min="96" max="96" width="20.33203125" bestFit="1" customWidth="1"/>
    <col min="97" max="97" width="13.109375" bestFit="1" customWidth="1"/>
    <col min="98" max="98" width="20.33203125" bestFit="1" customWidth="1"/>
    <col min="99" max="99" width="13.109375" bestFit="1" customWidth="1"/>
    <col min="100" max="100" width="20.33203125" bestFit="1" customWidth="1"/>
    <col min="101" max="101" width="13.109375" bestFit="1" customWidth="1"/>
    <col min="102" max="102" width="20.33203125" bestFit="1" customWidth="1"/>
    <col min="103" max="103" width="13.109375" bestFit="1" customWidth="1"/>
    <col min="104" max="104" width="20.33203125" bestFit="1" customWidth="1"/>
    <col min="105" max="105" width="13.109375" bestFit="1" customWidth="1"/>
    <col min="106" max="106" width="20.33203125" bestFit="1" customWidth="1"/>
    <col min="107" max="107" width="13.109375" bestFit="1" customWidth="1"/>
    <col min="108" max="108" width="20.33203125" bestFit="1" customWidth="1"/>
    <col min="109" max="109" width="13.109375" bestFit="1" customWidth="1"/>
    <col min="110" max="110" width="20.33203125" bestFit="1" customWidth="1"/>
    <col min="111" max="111" width="13.109375" bestFit="1" customWidth="1"/>
    <col min="112" max="112" width="20.33203125" bestFit="1" customWidth="1"/>
    <col min="113" max="113" width="13.109375" bestFit="1" customWidth="1"/>
    <col min="114" max="114" width="20.33203125" bestFit="1" customWidth="1"/>
    <col min="115" max="115" width="13.109375" bestFit="1" customWidth="1"/>
    <col min="116" max="116" width="20.33203125" bestFit="1" customWidth="1"/>
    <col min="117" max="117" width="13.109375" bestFit="1" customWidth="1"/>
    <col min="118" max="118" width="20.33203125" bestFit="1" customWidth="1"/>
    <col min="119" max="119" width="13.109375" bestFit="1" customWidth="1"/>
    <col min="120" max="120" width="20.33203125" bestFit="1" customWidth="1"/>
    <col min="121" max="121" width="13.109375" bestFit="1" customWidth="1"/>
    <col min="122" max="122" width="20.33203125" bestFit="1" customWidth="1"/>
    <col min="123" max="123" width="13.109375" bestFit="1" customWidth="1"/>
    <col min="124" max="124" width="20.33203125" bestFit="1" customWidth="1"/>
    <col min="125" max="125" width="13.109375" bestFit="1" customWidth="1"/>
    <col min="126" max="126" width="20.33203125" bestFit="1" customWidth="1"/>
    <col min="127" max="127" width="13.109375" bestFit="1" customWidth="1"/>
    <col min="128" max="128" width="20.33203125" bestFit="1" customWidth="1"/>
    <col min="129" max="129" width="13.109375" bestFit="1" customWidth="1"/>
    <col min="130" max="130" width="20.33203125" bestFit="1" customWidth="1"/>
    <col min="131" max="131" width="13.109375" bestFit="1" customWidth="1"/>
    <col min="132" max="132" width="20.33203125" bestFit="1" customWidth="1"/>
    <col min="133" max="133" width="13.109375" bestFit="1" customWidth="1"/>
    <col min="134" max="134" width="20.33203125" bestFit="1" customWidth="1"/>
    <col min="135" max="135" width="13.109375" bestFit="1" customWidth="1"/>
    <col min="136" max="136" width="20.33203125" bestFit="1" customWidth="1"/>
    <col min="137" max="137" width="13.109375" bestFit="1" customWidth="1"/>
    <col min="138" max="138" width="20.33203125" bestFit="1" customWidth="1"/>
    <col min="139" max="139" width="13.109375" bestFit="1" customWidth="1"/>
    <col min="140" max="140" width="20.33203125" bestFit="1" customWidth="1"/>
    <col min="141" max="141" width="13.109375" bestFit="1" customWidth="1"/>
    <col min="142" max="142" width="20.33203125" bestFit="1" customWidth="1"/>
    <col min="143" max="143" width="13.109375" bestFit="1" customWidth="1"/>
    <col min="144" max="144" width="20.33203125" bestFit="1" customWidth="1"/>
    <col min="145" max="145" width="13.109375" bestFit="1" customWidth="1"/>
    <col min="146" max="146" width="20.33203125" bestFit="1" customWidth="1"/>
    <col min="147" max="147" width="13.109375" bestFit="1" customWidth="1"/>
    <col min="148" max="148" width="20.33203125" bestFit="1" customWidth="1"/>
    <col min="149" max="149" width="13.109375" bestFit="1" customWidth="1"/>
    <col min="150" max="150" width="20.33203125" bestFit="1" customWidth="1"/>
    <col min="151" max="151" width="13.109375" bestFit="1" customWidth="1"/>
    <col min="152" max="152" width="20.33203125" bestFit="1" customWidth="1"/>
    <col min="153" max="153" width="13.109375" bestFit="1" customWidth="1"/>
    <col min="154" max="154" width="20.33203125" bestFit="1" customWidth="1"/>
    <col min="155" max="155" width="13.109375" bestFit="1" customWidth="1"/>
    <col min="156" max="156" width="20.33203125" bestFit="1" customWidth="1"/>
    <col min="157" max="157" width="13.109375" bestFit="1" customWidth="1"/>
    <col min="158" max="158" width="20.33203125" bestFit="1" customWidth="1"/>
    <col min="159" max="159" width="13.109375" bestFit="1" customWidth="1"/>
    <col min="160" max="160" width="20.33203125" bestFit="1" customWidth="1"/>
    <col min="161" max="161" width="13.109375" bestFit="1" customWidth="1"/>
    <col min="162" max="162" width="20.33203125" bestFit="1" customWidth="1"/>
    <col min="163" max="163" width="13.109375" bestFit="1" customWidth="1"/>
    <col min="164" max="164" width="20.33203125" bestFit="1" customWidth="1"/>
    <col min="165" max="165" width="13.109375" bestFit="1" customWidth="1"/>
    <col min="166" max="166" width="20.33203125" bestFit="1" customWidth="1"/>
    <col min="167" max="167" width="13.109375" bestFit="1" customWidth="1"/>
    <col min="168" max="168" width="20.33203125" bestFit="1" customWidth="1"/>
    <col min="169" max="169" width="13.109375" bestFit="1" customWidth="1"/>
    <col min="170" max="170" width="20.33203125" bestFit="1" customWidth="1"/>
    <col min="171" max="171" width="13.109375" bestFit="1" customWidth="1"/>
    <col min="172" max="172" width="20.33203125" bestFit="1" customWidth="1"/>
    <col min="173" max="173" width="13.109375" bestFit="1" customWidth="1"/>
    <col min="174" max="174" width="20.33203125" bestFit="1" customWidth="1"/>
    <col min="175" max="175" width="13.109375" bestFit="1" customWidth="1"/>
    <col min="176" max="176" width="20.33203125" bestFit="1" customWidth="1"/>
    <col min="177" max="177" width="13.109375" bestFit="1" customWidth="1"/>
    <col min="178" max="178" width="20.33203125" bestFit="1" customWidth="1"/>
    <col min="179" max="179" width="13.109375" bestFit="1" customWidth="1"/>
    <col min="180" max="180" width="20.33203125" bestFit="1" customWidth="1"/>
    <col min="181" max="181" width="13.109375" bestFit="1" customWidth="1"/>
    <col min="182" max="182" width="20.33203125" bestFit="1" customWidth="1"/>
    <col min="183" max="183" width="13.109375" bestFit="1" customWidth="1"/>
    <col min="184" max="184" width="20.33203125" bestFit="1" customWidth="1"/>
    <col min="185" max="185" width="13.109375" bestFit="1" customWidth="1"/>
    <col min="186" max="186" width="20.33203125" bestFit="1" customWidth="1"/>
    <col min="187" max="187" width="13.109375" bestFit="1" customWidth="1"/>
    <col min="188" max="188" width="20.33203125" bestFit="1" customWidth="1"/>
    <col min="189" max="189" width="13.109375" bestFit="1" customWidth="1"/>
    <col min="190" max="190" width="20.33203125" bestFit="1" customWidth="1"/>
    <col min="191" max="191" width="13.109375" bestFit="1" customWidth="1"/>
    <col min="192" max="192" width="20.33203125" bestFit="1" customWidth="1"/>
    <col min="193" max="193" width="13.109375" bestFit="1" customWidth="1"/>
    <col min="194" max="194" width="20.33203125" bestFit="1" customWidth="1"/>
    <col min="195" max="195" width="13.109375" bestFit="1" customWidth="1"/>
    <col min="196" max="196" width="20.33203125" bestFit="1" customWidth="1"/>
    <col min="197" max="197" width="13.109375" bestFit="1" customWidth="1"/>
    <col min="198" max="198" width="20.33203125" bestFit="1" customWidth="1"/>
    <col min="199" max="199" width="13.109375" bestFit="1" customWidth="1"/>
    <col min="200" max="200" width="20.33203125" bestFit="1" customWidth="1"/>
    <col min="201" max="201" width="13.109375" bestFit="1" customWidth="1"/>
    <col min="202" max="202" width="20.33203125" bestFit="1" customWidth="1"/>
    <col min="203" max="203" width="13.109375" bestFit="1" customWidth="1"/>
    <col min="204" max="204" width="20.33203125" bestFit="1" customWidth="1"/>
    <col min="205" max="205" width="13.109375" bestFit="1" customWidth="1"/>
    <col min="206" max="206" width="20.33203125" bestFit="1" customWidth="1"/>
    <col min="207" max="207" width="13.109375" bestFit="1" customWidth="1"/>
    <col min="208" max="208" width="20.33203125" bestFit="1" customWidth="1"/>
    <col min="209" max="209" width="13.109375" bestFit="1" customWidth="1"/>
    <col min="210" max="210" width="20.33203125" bestFit="1" customWidth="1"/>
    <col min="211" max="211" width="13.109375" bestFit="1" customWidth="1"/>
    <col min="212" max="212" width="20.33203125" bestFit="1" customWidth="1"/>
    <col min="213" max="213" width="13.109375" bestFit="1" customWidth="1"/>
    <col min="214" max="214" width="20.33203125" bestFit="1" customWidth="1"/>
    <col min="215" max="215" width="13.109375" bestFit="1" customWidth="1"/>
    <col min="216" max="216" width="20.33203125" bestFit="1" customWidth="1"/>
    <col min="217" max="217" width="13.109375" bestFit="1" customWidth="1"/>
    <col min="218" max="218" width="20.33203125" bestFit="1" customWidth="1"/>
    <col min="219" max="219" width="13.109375" bestFit="1" customWidth="1"/>
    <col min="220" max="220" width="20.33203125" bestFit="1" customWidth="1"/>
    <col min="221" max="221" width="13.109375" bestFit="1" customWidth="1"/>
    <col min="222" max="222" width="20.33203125" bestFit="1" customWidth="1"/>
    <col min="223" max="223" width="13.109375" bestFit="1" customWidth="1"/>
    <col min="224" max="224" width="20.33203125" bestFit="1" customWidth="1"/>
    <col min="225" max="225" width="13.109375" bestFit="1" customWidth="1"/>
    <col min="226" max="226" width="20.33203125" bestFit="1" customWidth="1"/>
    <col min="227" max="227" width="13.109375" bestFit="1" customWidth="1"/>
    <col min="228" max="228" width="20.33203125" bestFit="1" customWidth="1"/>
    <col min="229" max="229" width="13.109375" bestFit="1" customWidth="1"/>
    <col min="230" max="230" width="20.33203125" bestFit="1" customWidth="1"/>
    <col min="231" max="231" width="13.109375" bestFit="1" customWidth="1"/>
    <col min="232" max="232" width="20.33203125" bestFit="1" customWidth="1"/>
    <col min="233" max="233" width="13.109375" bestFit="1" customWidth="1"/>
    <col min="234" max="234" width="20.33203125" bestFit="1" customWidth="1"/>
    <col min="235" max="235" width="13.109375" bestFit="1" customWidth="1"/>
    <col min="236" max="236" width="20.33203125" bestFit="1" customWidth="1"/>
    <col min="237" max="237" width="13.109375" bestFit="1" customWidth="1"/>
    <col min="238" max="238" width="20.33203125" bestFit="1" customWidth="1"/>
    <col min="239" max="239" width="13.109375" bestFit="1" customWidth="1"/>
    <col min="240" max="240" width="20.33203125" bestFit="1" customWidth="1"/>
    <col min="241" max="241" width="13.109375" bestFit="1" customWidth="1"/>
    <col min="242" max="242" width="20.33203125" bestFit="1" customWidth="1"/>
    <col min="243" max="243" width="13.109375" bestFit="1" customWidth="1"/>
    <col min="244" max="244" width="20.33203125" bestFit="1" customWidth="1"/>
    <col min="245" max="245" width="13.109375" bestFit="1" customWidth="1"/>
    <col min="246" max="246" width="20.33203125" bestFit="1" customWidth="1"/>
    <col min="247" max="247" width="13.109375" bestFit="1" customWidth="1"/>
    <col min="248" max="248" width="20.33203125" bestFit="1" customWidth="1"/>
    <col min="249" max="249" width="13.109375" bestFit="1" customWidth="1"/>
    <col min="250" max="250" width="20.33203125" bestFit="1" customWidth="1"/>
    <col min="251" max="251" width="13.109375" bestFit="1" customWidth="1"/>
    <col min="252" max="252" width="20.33203125" bestFit="1" customWidth="1"/>
    <col min="253" max="253" width="13.109375" bestFit="1" customWidth="1"/>
    <col min="254" max="254" width="20.33203125" bestFit="1" customWidth="1"/>
    <col min="255" max="255" width="13.109375" bestFit="1" customWidth="1"/>
    <col min="256" max="256" width="20.33203125" bestFit="1" customWidth="1"/>
    <col min="257" max="257" width="13.109375" bestFit="1" customWidth="1"/>
    <col min="258" max="258" width="20.33203125" bestFit="1" customWidth="1"/>
    <col min="259" max="259" width="13.109375" bestFit="1" customWidth="1"/>
    <col min="260" max="260" width="20.33203125" bestFit="1" customWidth="1"/>
    <col min="261" max="261" width="13.109375" bestFit="1" customWidth="1"/>
    <col min="262" max="262" width="20.33203125" bestFit="1" customWidth="1"/>
    <col min="263" max="263" width="13.109375" bestFit="1" customWidth="1"/>
    <col min="264" max="264" width="20.33203125" bestFit="1" customWidth="1"/>
    <col min="265" max="265" width="13.109375" bestFit="1" customWidth="1"/>
    <col min="266" max="266" width="20.33203125" bestFit="1" customWidth="1"/>
    <col min="267" max="267" width="13.109375" bestFit="1" customWidth="1"/>
    <col min="268" max="268" width="20.33203125" bestFit="1" customWidth="1"/>
    <col min="269" max="269" width="13.109375" bestFit="1" customWidth="1"/>
    <col min="270" max="270" width="20.33203125" bestFit="1" customWidth="1"/>
    <col min="271" max="271" width="13.109375" bestFit="1" customWidth="1"/>
    <col min="272" max="272" width="20.33203125" bestFit="1" customWidth="1"/>
    <col min="273" max="273" width="13.109375" bestFit="1" customWidth="1"/>
    <col min="274" max="274" width="20.33203125" bestFit="1" customWidth="1"/>
    <col min="275" max="275" width="13.109375" bestFit="1" customWidth="1"/>
    <col min="276" max="276" width="20.33203125" bestFit="1" customWidth="1"/>
    <col min="277" max="277" width="13.109375" bestFit="1" customWidth="1"/>
    <col min="278" max="278" width="20.33203125" bestFit="1" customWidth="1"/>
    <col min="279" max="279" width="13.109375" bestFit="1" customWidth="1"/>
    <col min="280" max="280" width="20.33203125" bestFit="1" customWidth="1"/>
    <col min="281" max="281" width="13.109375" bestFit="1" customWidth="1"/>
    <col min="282" max="282" width="20.33203125" bestFit="1" customWidth="1"/>
    <col min="283" max="283" width="13.109375" bestFit="1" customWidth="1"/>
    <col min="284" max="284" width="20.33203125" bestFit="1" customWidth="1"/>
    <col min="285" max="285" width="13.109375" bestFit="1" customWidth="1"/>
    <col min="286" max="286" width="20.33203125" bestFit="1" customWidth="1"/>
    <col min="287" max="287" width="13.109375" bestFit="1" customWidth="1"/>
    <col min="288" max="288" width="20.33203125" bestFit="1" customWidth="1"/>
    <col min="289" max="289" width="13.109375" bestFit="1" customWidth="1"/>
    <col min="290" max="290" width="20.33203125" bestFit="1" customWidth="1"/>
    <col min="291" max="291" width="13.109375" bestFit="1" customWidth="1"/>
    <col min="292" max="292" width="20.33203125" bestFit="1" customWidth="1"/>
    <col min="293" max="293" width="13.109375" bestFit="1" customWidth="1"/>
    <col min="294" max="294" width="20.33203125" bestFit="1" customWidth="1"/>
    <col min="295" max="295" width="13.109375" bestFit="1" customWidth="1"/>
    <col min="296" max="296" width="20.33203125" bestFit="1" customWidth="1"/>
    <col min="297" max="297" width="13.109375" bestFit="1" customWidth="1"/>
    <col min="298" max="298" width="20.33203125" bestFit="1" customWidth="1"/>
    <col min="299" max="299" width="13.109375" bestFit="1" customWidth="1"/>
    <col min="300" max="300" width="20.33203125" bestFit="1" customWidth="1"/>
    <col min="301" max="301" width="13.109375" bestFit="1" customWidth="1"/>
    <col min="302" max="302" width="20.33203125" bestFit="1" customWidth="1"/>
    <col min="303" max="303" width="13.109375" bestFit="1" customWidth="1"/>
    <col min="304" max="304" width="20.33203125" bestFit="1" customWidth="1"/>
    <col min="305" max="305" width="13.109375" bestFit="1" customWidth="1"/>
    <col min="306" max="306" width="20.33203125" bestFit="1" customWidth="1"/>
    <col min="307" max="307" width="13.109375" bestFit="1" customWidth="1"/>
    <col min="308" max="308" width="20.33203125" bestFit="1" customWidth="1"/>
    <col min="309" max="309" width="13.109375" bestFit="1" customWidth="1"/>
    <col min="310" max="310" width="20.33203125" bestFit="1" customWidth="1"/>
    <col min="311" max="311" width="13.109375" bestFit="1" customWidth="1"/>
    <col min="312" max="312" width="20.33203125" bestFit="1" customWidth="1"/>
    <col min="313" max="313" width="13.109375" bestFit="1" customWidth="1"/>
    <col min="314" max="314" width="20.33203125" bestFit="1" customWidth="1"/>
    <col min="315" max="315" width="13.109375" bestFit="1" customWidth="1"/>
    <col min="316" max="316" width="20.33203125" bestFit="1" customWidth="1"/>
    <col min="317" max="317" width="13.109375" bestFit="1" customWidth="1"/>
    <col min="318" max="318" width="20.33203125" bestFit="1" customWidth="1"/>
    <col min="319" max="319" width="13.109375" bestFit="1" customWidth="1"/>
    <col min="320" max="320" width="20.33203125" bestFit="1" customWidth="1"/>
    <col min="321" max="321" width="13.109375" bestFit="1" customWidth="1"/>
    <col min="322" max="322" width="20.33203125" bestFit="1" customWidth="1"/>
    <col min="323" max="323" width="13.109375" bestFit="1" customWidth="1"/>
    <col min="324" max="324" width="20.33203125" bestFit="1" customWidth="1"/>
    <col min="325" max="325" width="13.109375" bestFit="1" customWidth="1"/>
    <col min="326" max="326" width="20.33203125" bestFit="1" customWidth="1"/>
    <col min="327" max="327" width="13.109375" bestFit="1" customWidth="1"/>
    <col min="328" max="328" width="20.33203125" bestFit="1" customWidth="1"/>
    <col min="329" max="329" width="13.109375" bestFit="1" customWidth="1"/>
    <col min="330" max="330" width="20.33203125" bestFit="1" customWidth="1"/>
    <col min="331" max="331" width="13.109375" bestFit="1" customWidth="1"/>
    <col min="332" max="332" width="20.33203125" bestFit="1" customWidth="1"/>
    <col min="333" max="333" width="13.109375" bestFit="1" customWidth="1"/>
    <col min="334" max="334" width="20.33203125" bestFit="1" customWidth="1"/>
    <col min="335" max="335" width="13.109375" bestFit="1" customWidth="1"/>
    <col min="336" max="336" width="20.33203125" bestFit="1" customWidth="1"/>
    <col min="337" max="337" width="13.109375" bestFit="1" customWidth="1"/>
    <col min="338" max="338" width="20.33203125" bestFit="1" customWidth="1"/>
    <col min="339" max="339" width="13.109375" bestFit="1" customWidth="1"/>
    <col min="340" max="340" width="20.33203125" bestFit="1" customWidth="1"/>
    <col min="341" max="341" width="13.109375" bestFit="1" customWidth="1"/>
    <col min="342" max="342" width="20.33203125" bestFit="1" customWidth="1"/>
    <col min="343" max="343" width="13.109375" bestFit="1" customWidth="1"/>
    <col min="344" max="344" width="20.33203125" bestFit="1" customWidth="1"/>
    <col min="345" max="345" width="13.109375" bestFit="1" customWidth="1"/>
    <col min="346" max="346" width="20.33203125" bestFit="1" customWidth="1"/>
    <col min="347" max="347" width="13.109375" bestFit="1" customWidth="1"/>
    <col min="348" max="348" width="20.33203125" bestFit="1" customWidth="1"/>
    <col min="349" max="349" width="13.109375" bestFit="1" customWidth="1"/>
    <col min="350" max="350" width="20.33203125" bestFit="1" customWidth="1"/>
    <col min="351" max="351" width="13.109375" bestFit="1" customWidth="1"/>
    <col min="352" max="352" width="20.33203125" bestFit="1" customWidth="1"/>
    <col min="353" max="353" width="13.109375" bestFit="1" customWidth="1"/>
    <col min="354" max="354" width="20.33203125" bestFit="1" customWidth="1"/>
    <col min="355" max="355" width="13.109375" bestFit="1" customWidth="1"/>
    <col min="356" max="356" width="20.33203125" bestFit="1" customWidth="1"/>
    <col min="357" max="357" width="13.109375" bestFit="1" customWidth="1"/>
    <col min="358" max="358" width="20.33203125" bestFit="1" customWidth="1"/>
    <col min="359" max="359" width="13.109375" bestFit="1" customWidth="1"/>
    <col min="360" max="360" width="20.33203125" bestFit="1" customWidth="1"/>
    <col min="361" max="361" width="13.109375" bestFit="1" customWidth="1"/>
    <col min="362" max="362" width="20.33203125" bestFit="1" customWidth="1"/>
    <col min="363" max="363" width="13.109375" bestFit="1" customWidth="1"/>
    <col min="364" max="364" width="20.33203125" bestFit="1" customWidth="1"/>
    <col min="365" max="365" width="13.109375" bestFit="1" customWidth="1"/>
    <col min="366" max="366" width="20.33203125" bestFit="1" customWidth="1"/>
    <col min="367" max="367" width="13.109375" bestFit="1" customWidth="1"/>
    <col min="368" max="368" width="20.33203125" bestFit="1" customWidth="1"/>
    <col min="369" max="369" width="13.109375" bestFit="1" customWidth="1"/>
    <col min="370" max="370" width="20.33203125" bestFit="1" customWidth="1"/>
    <col min="371" max="371" width="13.109375" bestFit="1" customWidth="1"/>
    <col min="372" max="372" width="20.33203125" bestFit="1" customWidth="1"/>
    <col min="373" max="373" width="13.109375" bestFit="1" customWidth="1"/>
    <col min="374" max="374" width="20.33203125" bestFit="1" customWidth="1"/>
    <col min="375" max="375" width="13.109375" bestFit="1" customWidth="1"/>
    <col min="376" max="376" width="20.33203125" bestFit="1" customWidth="1"/>
    <col min="377" max="377" width="13.109375" bestFit="1" customWidth="1"/>
    <col min="378" max="378" width="20.33203125" bestFit="1" customWidth="1"/>
    <col min="379" max="379" width="13.109375" bestFit="1" customWidth="1"/>
    <col min="380" max="380" width="20.33203125" bestFit="1" customWidth="1"/>
    <col min="381" max="381" width="13.109375" bestFit="1" customWidth="1"/>
    <col min="382" max="382" width="20.33203125" bestFit="1" customWidth="1"/>
    <col min="383" max="383" width="13.109375" bestFit="1" customWidth="1"/>
    <col min="384" max="384" width="20.33203125" bestFit="1" customWidth="1"/>
    <col min="385" max="385" width="13.109375" bestFit="1" customWidth="1"/>
    <col min="386" max="386" width="20.33203125" bestFit="1" customWidth="1"/>
    <col min="387" max="387" width="13.109375" bestFit="1" customWidth="1"/>
    <col min="388" max="388" width="20.33203125" bestFit="1" customWidth="1"/>
    <col min="389" max="389" width="13.109375" bestFit="1" customWidth="1"/>
    <col min="390" max="390" width="20.33203125" bestFit="1" customWidth="1"/>
    <col min="391" max="391" width="13.109375" bestFit="1" customWidth="1"/>
    <col min="392" max="392" width="20.33203125" bestFit="1" customWidth="1"/>
    <col min="393" max="393" width="13.109375" bestFit="1" customWidth="1"/>
    <col min="394" max="394" width="20.33203125" bestFit="1" customWidth="1"/>
    <col min="395" max="395" width="13.109375" bestFit="1" customWidth="1"/>
    <col min="396" max="396" width="20.33203125" bestFit="1" customWidth="1"/>
    <col min="397" max="397" width="13.109375" bestFit="1" customWidth="1"/>
    <col min="398" max="398" width="20.33203125" bestFit="1" customWidth="1"/>
    <col min="399" max="399" width="13.109375" bestFit="1" customWidth="1"/>
    <col min="400" max="400" width="20.33203125" bestFit="1" customWidth="1"/>
    <col min="401" max="401" width="13.109375" bestFit="1" customWidth="1"/>
    <col min="402" max="402" width="20.33203125" bestFit="1" customWidth="1"/>
    <col min="403" max="403" width="13.109375" bestFit="1" customWidth="1"/>
    <col min="404" max="404" width="20.33203125" bestFit="1" customWidth="1"/>
    <col min="405" max="405" width="13.109375" bestFit="1" customWidth="1"/>
    <col min="406" max="406" width="20.33203125" bestFit="1" customWidth="1"/>
    <col min="407" max="407" width="13.109375" bestFit="1" customWidth="1"/>
    <col min="408" max="408" width="20.33203125" bestFit="1" customWidth="1"/>
    <col min="409" max="409" width="13.109375" bestFit="1" customWidth="1"/>
    <col min="410" max="410" width="20.33203125" bestFit="1" customWidth="1"/>
    <col min="411" max="411" width="13.109375" bestFit="1" customWidth="1"/>
    <col min="412" max="412" width="20.33203125" bestFit="1" customWidth="1"/>
    <col min="413" max="413" width="13.109375" bestFit="1" customWidth="1"/>
    <col min="414" max="414" width="20.33203125" bestFit="1" customWidth="1"/>
    <col min="415" max="415" width="13.109375" bestFit="1" customWidth="1"/>
    <col min="416" max="416" width="20.33203125" bestFit="1" customWidth="1"/>
    <col min="417" max="417" width="13.109375" bestFit="1" customWidth="1"/>
    <col min="418" max="418" width="20.33203125" bestFit="1" customWidth="1"/>
    <col min="419" max="419" width="13.109375" bestFit="1" customWidth="1"/>
    <col min="420" max="420" width="20.33203125" bestFit="1" customWidth="1"/>
    <col min="421" max="421" width="13.109375" bestFit="1" customWidth="1"/>
    <col min="422" max="422" width="20.33203125" bestFit="1" customWidth="1"/>
    <col min="423" max="423" width="13.109375" bestFit="1" customWidth="1"/>
    <col min="424" max="424" width="20.33203125" bestFit="1" customWidth="1"/>
    <col min="425" max="425" width="13.109375" bestFit="1" customWidth="1"/>
    <col min="426" max="426" width="20.33203125" bestFit="1" customWidth="1"/>
    <col min="427" max="427" width="13.109375" bestFit="1" customWidth="1"/>
    <col min="428" max="428" width="20.33203125" bestFit="1" customWidth="1"/>
    <col min="429" max="429" width="13.109375" bestFit="1" customWidth="1"/>
    <col min="430" max="430" width="20.33203125" bestFit="1" customWidth="1"/>
    <col min="431" max="431" width="13.109375" bestFit="1" customWidth="1"/>
    <col min="432" max="432" width="20.33203125" bestFit="1" customWidth="1"/>
    <col min="433" max="433" width="13.109375" bestFit="1" customWidth="1"/>
    <col min="434" max="434" width="20.33203125" bestFit="1" customWidth="1"/>
    <col min="435" max="435" width="13.109375" bestFit="1" customWidth="1"/>
    <col min="436" max="436" width="20.33203125" bestFit="1" customWidth="1"/>
    <col min="437" max="437" width="13.109375" bestFit="1" customWidth="1"/>
    <col min="438" max="438" width="20.33203125" bestFit="1" customWidth="1"/>
    <col min="439" max="439" width="13.109375" bestFit="1" customWidth="1"/>
    <col min="440" max="440" width="20.33203125" bestFit="1" customWidth="1"/>
    <col min="441" max="441" width="13.109375" bestFit="1" customWidth="1"/>
    <col min="442" max="442" width="20.33203125" bestFit="1" customWidth="1"/>
    <col min="443" max="443" width="13.109375" bestFit="1" customWidth="1"/>
    <col min="444" max="444" width="20.33203125" bestFit="1" customWidth="1"/>
    <col min="445" max="445" width="13.109375" bestFit="1" customWidth="1"/>
    <col min="446" max="446" width="20.33203125" bestFit="1" customWidth="1"/>
    <col min="447" max="447" width="13.109375" bestFit="1" customWidth="1"/>
    <col min="448" max="448" width="20.33203125" bestFit="1" customWidth="1"/>
    <col min="449" max="449" width="13.109375" bestFit="1" customWidth="1"/>
    <col min="450" max="450" width="20.33203125" bestFit="1" customWidth="1"/>
    <col min="451" max="451" width="13.109375" bestFit="1" customWidth="1"/>
    <col min="452" max="452" width="20.33203125" bestFit="1" customWidth="1"/>
    <col min="453" max="453" width="13.109375" bestFit="1" customWidth="1"/>
    <col min="454" max="454" width="20.33203125" bestFit="1" customWidth="1"/>
    <col min="455" max="455" width="13.109375" bestFit="1" customWidth="1"/>
    <col min="456" max="456" width="20.33203125" bestFit="1" customWidth="1"/>
    <col min="457" max="457" width="13.109375" bestFit="1" customWidth="1"/>
    <col min="458" max="458" width="20.33203125" bestFit="1" customWidth="1"/>
    <col min="459" max="459" width="13.109375" bestFit="1" customWidth="1"/>
    <col min="460" max="460" width="20.33203125" bestFit="1" customWidth="1"/>
    <col min="461" max="461" width="13.109375" bestFit="1" customWidth="1"/>
    <col min="462" max="462" width="20.33203125" bestFit="1" customWidth="1"/>
    <col min="463" max="463" width="13.109375" bestFit="1" customWidth="1"/>
    <col min="464" max="464" width="20.33203125" bestFit="1" customWidth="1"/>
    <col min="465" max="465" width="13.109375" bestFit="1" customWidth="1"/>
    <col min="466" max="466" width="20.33203125" bestFit="1" customWidth="1"/>
    <col min="467" max="467" width="13.109375" bestFit="1" customWidth="1"/>
    <col min="468" max="468" width="20.33203125" bestFit="1" customWidth="1"/>
    <col min="469" max="469" width="13.109375" bestFit="1" customWidth="1"/>
    <col min="470" max="470" width="20.33203125" bestFit="1" customWidth="1"/>
    <col min="471" max="471" width="13.109375" bestFit="1" customWidth="1"/>
    <col min="472" max="472" width="20.33203125" bestFit="1" customWidth="1"/>
    <col min="473" max="473" width="13.109375" bestFit="1" customWidth="1"/>
    <col min="474" max="474" width="20.33203125" bestFit="1" customWidth="1"/>
    <col min="475" max="475" width="13.109375" bestFit="1" customWidth="1"/>
    <col min="476" max="476" width="20.33203125" bestFit="1" customWidth="1"/>
    <col min="477" max="477" width="13.109375" bestFit="1" customWidth="1"/>
    <col min="478" max="478" width="20.33203125" bestFit="1" customWidth="1"/>
    <col min="479" max="479" width="13.109375" bestFit="1" customWidth="1"/>
    <col min="480" max="480" width="20.33203125" bestFit="1" customWidth="1"/>
    <col min="481" max="481" width="13.109375" bestFit="1" customWidth="1"/>
    <col min="482" max="482" width="20.33203125" bestFit="1" customWidth="1"/>
    <col min="483" max="483" width="13.109375" bestFit="1" customWidth="1"/>
    <col min="484" max="484" width="20.33203125" bestFit="1" customWidth="1"/>
    <col min="485" max="485" width="13.109375" bestFit="1" customWidth="1"/>
    <col min="486" max="486" width="20.33203125" bestFit="1" customWidth="1"/>
    <col min="487" max="487" width="13.109375" bestFit="1" customWidth="1"/>
    <col min="488" max="488" width="20.33203125" bestFit="1" customWidth="1"/>
    <col min="489" max="489" width="13.109375" bestFit="1" customWidth="1"/>
    <col min="490" max="490" width="20.33203125" bestFit="1" customWidth="1"/>
    <col min="491" max="491" width="13.109375" bestFit="1" customWidth="1"/>
    <col min="492" max="492" width="20.33203125" bestFit="1" customWidth="1"/>
    <col min="493" max="493" width="13.109375" bestFit="1" customWidth="1"/>
    <col min="494" max="494" width="20.33203125" bestFit="1" customWidth="1"/>
    <col min="495" max="495" width="13.109375" bestFit="1" customWidth="1"/>
    <col min="496" max="496" width="20.33203125" bestFit="1" customWidth="1"/>
    <col min="497" max="497" width="13.109375" bestFit="1" customWidth="1"/>
    <col min="498" max="498" width="20.33203125" bestFit="1" customWidth="1"/>
    <col min="499" max="499" width="13.109375" bestFit="1" customWidth="1"/>
    <col min="500" max="500" width="20.33203125" bestFit="1" customWidth="1"/>
    <col min="501" max="501" width="13.109375" bestFit="1" customWidth="1"/>
    <col min="502" max="502" width="20.33203125" bestFit="1" customWidth="1"/>
    <col min="503" max="503" width="13.109375" bestFit="1" customWidth="1"/>
    <col min="504" max="504" width="20.33203125" bestFit="1" customWidth="1"/>
    <col min="505" max="505" width="13.109375" bestFit="1" customWidth="1"/>
    <col min="506" max="506" width="20.33203125" bestFit="1" customWidth="1"/>
    <col min="507" max="507" width="13.109375" bestFit="1" customWidth="1"/>
    <col min="508" max="508" width="20.33203125" bestFit="1" customWidth="1"/>
    <col min="509" max="509" width="13.109375" bestFit="1" customWidth="1"/>
    <col min="510" max="510" width="20.33203125" bestFit="1" customWidth="1"/>
    <col min="511" max="511" width="13.109375" bestFit="1" customWidth="1"/>
    <col min="512" max="512" width="20.33203125" bestFit="1" customWidth="1"/>
    <col min="513" max="513" width="13.109375" bestFit="1" customWidth="1"/>
    <col min="514" max="514" width="20.33203125" bestFit="1" customWidth="1"/>
    <col min="515" max="515" width="13.109375" bestFit="1" customWidth="1"/>
    <col min="516" max="516" width="20.33203125" bestFit="1" customWidth="1"/>
    <col min="517" max="517" width="13.109375" bestFit="1" customWidth="1"/>
    <col min="518" max="518" width="20.33203125" bestFit="1" customWidth="1"/>
    <col min="519" max="519" width="13.109375" bestFit="1" customWidth="1"/>
    <col min="520" max="520" width="20.33203125" bestFit="1" customWidth="1"/>
    <col min="521" max="521" width="13.109375" bestFit="1" customWidth="1"/>
    <col min="522" max="522" width="20.33203125" bestFit="1" customWidth="1"/>
    <col min="523" max="523" width="13.109375" bestFit="1" customWidth="1"/>
    <col min="524" max="524" width="20.33203125" bestFit="1" customWidth="1"/>
    <col min="525" max="525" width="13.109375" bestFit="1" customWidth="1"/>
    <col min="526" max="526" width="20.33203125" bestFit="1" customWidth="1"/>
    <col min="527" max="527" width="13.109375" bestFit="1" customWidth="1"/>
    <col min="528" max="528" width="20.33203125" bestFit="1" customWidth="1"/>
    <col min="529" max="529" width="13.109375" bestFit="1" customWidth="1"/>
    <col min="530" max="530" width="20.33203125" bestFit="1" customWidth="1"/>
    <col min="531" max="531" width="13.109375" bestFit="1" customWidth="1"/>
    <col min="532" max="532" width="20.33203125" bestFit="1" customWidth="1"/>
    <col min="533" max="533" width="13.109375" bestFit="1" customWidth="1"/>
    <col min="534" max="534" width="20.33203125" bestFit="1" customWidth="1"/>
    <col min="535" max="535" width="13.109375" bestFit="1" customWidth="1"/>
    <col min="536" max="536" width="20.33203125" bestFit="1" customWidth="1"/>
    <col min="537" max="537" width="13.109375" bestFit="1" customWidth="1"/>
    <col min="538" max="538" width="20.33203125" bestFit="1" customWidth="1"/>
    <col min="539" max="539" width="13.109375" bestFit="1" customWidth="1"/>
    <col min="540" max="540" width="20.33203125" bestFit="1" customWidth="1"/>
    <col min="541" max="541" width="13.109375" bestFit="1" customWidth="1"/>
    <col min="542" max="542" width="20.33203125" bestFit="1" customWidth="1"/>
    <col min="543" max="543" width="13.109375" bestFit="1" customWidth="1"/>
    <col min="544" max="544" width="20.33203125" bestFit="1" customWidth="1"/>
    <col min="545" max="545" width="13.109375" bestFit="1" customWidth="1"/>
    <col min="546" max="546" width="20.33203125" bestFit="1" customWidth="1"/>
    <col min="547" max="547" width="13.109375" bestFit="1" customWidth="1"/>
    <col min="548" max="548" width="20.33203125" bestFit="1" customWidth="1"/>
    <col min="549" max="549" width="13.109375" bestFit="1" customWidth="1"/>
    <col min="550" max="550" width="20.33203125" bestFit="1" customWidth="1"/>
    <col min="551" max="551" width="13.109375" bestFit="1" customWidth="1"/>
    <col min="552" max="552" width="20.33203125" bestFit="1" customWidth="1"/>
    <col min="553" max="553" width="13.109375" bestFit="1" customWidth="1"/>
    <col min="554" max="554" width="20.33203125" bestFit="1" customWidth="1"/>
    <col min="555" max="555" width="13.109375" bestFit="1" customWidth="1"/>
    <col min="556" max="556" width="20.33203125" bestFit="1" customWidth="1"/>
    <col min="557" max="557" width="13.109375" bestFit="1" customWidth="1"/>
    <col min="558" max="558" width="20.33203125" bestFit="1" customWidth="1"/>
    <col min="559" max="559" width="13.109375" bestFit="1" customWidth="1"/>
    <col min="560" max="560" width="20.33203125" bestFit="1" customWidth="1"/>
    <col min="561" max="561" width="13.109375" bestFit="1" customWidth="1"/>
    <col min="562" max="562" width="20.33203125" bestFit="1" customWidth="1"/>
    <col min="563" max="563" width="13.109375" bestFit="1" customWidth="1"/>
    <col min="564" max="564" width="20.33203125" bestFit="1" customWidth="1"/>
    <col min="565" max="565" width="13.109375" bestFit="1" customWidth="1"/>
    <col min="566" max="566" width="20.33203125" bestFit="1" customWidth="1"/>
    <col min="567" max="567" width="13.109375" bestFit="1" customWidth="1"/>
    <col min="568" max="568" width="20.33203125" bestFit="1" customWidth="1"/>
    <col min="569" max="569" width="13.109375" bestFit="1" customWidth="1"/>
    <col min="570" max="570" width="20.33203125" bestFit="1" customWidth="1"/>
    <col min="571" max="571" width="13.109375" bestFit="1" customWidth="1"/>
    <col min="572" max="572" width="20.33203125" bestFit="1" customWidth="1"/>
    <col min="573" max="573" width="13.109375" bestFit="1" customWidth="1"/>
    <col min="574" max="574" width="20.33203125" bestFit="1" customWidth="1"/>
    <col min="575" max="575" width="13.109375" bestFit="1" customWidth="1"/>
    <col min="576" max="576" width="20.33203125" bestFit="1" customWidth="1"/>
    <col min="577" max="577" width="13.109375" bestFit="1" customWidth="1"/>
    <col min="578" max="578" width="20.33203125" bestFit="1" customWidth="1"/>
    <col min="579" max="579" width="13.109375" bestFit="1" customWidth="1"/>
    <col min="580" max="580" width="20.33203125" bestFit="1" customWidth="1"/>
    <col min="581" max="581" width="13.109375" bestFit="1" customWidth="1"/>
    <col min="582" max="582" width="20.33203125" bestFit="1" customWidth="1"/>
    <col min="583" max="583" width="13.109375" bestFit="1" customWidth="1"/>
    <col min="584" max="584" width="20.33203125" bestFit="1" customWidth="1"/>
    <col min="585" max="585" width="13.109375" bestFit="1" customWidth="1"/>
    <col min="586" max="586" width="20.33203125" bestFit="1" customWidth="1"/>
    <col min="587" max="587" width="13.109375" bestFit="1" customWidth="1"/>
    <col min="588" max="588" width="20.33203125" bestFit="1" customWidth="1"/>
    <col min="589" max="589" width="13.109375" bestFit="1" customWidth="1"/>
    <col min="590" max="590" width="20.33203125" bestFit="1" customWidth="1"/>
    <col min="591" max="591" width="13.109375" bestFit="1" customWidth="1"/>
    <col min="592" max="592" width="20.33203125" bestFit="1" customWidth="1"/>
    <col min="593" max="593" width="13.109375" bestFit="1" customWidth="1"/>
    <col min="594" max="594" width="20.33203125" bestFit="1" customWidth="1"/>
    <col min="595" max="595" width="13.109375" bestFit="1" customWidth="1"/>
    <col min="596" max="596" width="20.33203125" bestFit="1" customWidth="1"/>
    <col min="597" max="597" width="13.109375" bestFit="1" customWidth="1"/>
    <col min="598" max="598" width="25.109375" bestFit="1" customWidth="1"/>
    <col min="599" max="599" width="17.88671875" bestFit="1" customWidth="1"/>
    <col min="600" max="600" width="9.6640625" bestFit="1" customWidth="1"/>
    <col min="601" max="601" width="7" bestFit="1" customWidth="1"/>
    <col min="602" max="602" width="9.6640625" bestFit="1" customWidth="1"/>
    <col min="603" max="603" width="7" bestFit="1" customWidth="1"/>
    <col min="604" max="604" width="9.6640625" bestFit="1" customWidth="1"/>
    <col min="605" max="605" width="10.77734375" bestFit="1" customWidth="1"/>
  </cols>
  <sheetData>
    <row r="1" spans="1:11" ht="18" x14ac:dyDescent="0.35">
      <c r="E1" s="1" t="s">
        <v>551</v>
      </c>
    </row>
    <row r="2" spans="1:11" x14ac:dyDescent="0.3">
      <c r="K2" s="63" t="s">
        <v>606</v>
      </c>
    </row>
    <row r="3" spans="1:11" ht="28.8" x14ac:dyDescent="0.3">
      <c r="A3" s="32" t="s">
        <v>310</v>
      </c>
      <c r="B3" s="32" t="s">
        <v>552</v>
      </c>
      <c r="C3" s="32" t="s">
        <v>553</v>
      </c>
      <c r="D3" s="39" t="s">
        <v>304</v>
      </c>
      <c r="E3" s="39" t="s">
        <v>305</v>
      </c>
      <c r="F3" s="40" t="s">
        <v>306</v>
      </c>
      <c r="G3" s="40" t="s">
        <v>301</v>
      </c>
      <c r="H3" s="40" t="s">
        <v>303</v>
      </c>
      <c r="I3" s="32" t="s">
        <v>308</v>
      </c>
    </row>
    <row r="4" spans="1:11" x14ac:dyDescent="0.3">
      <c r="A4" s="9" t="s">
        <v>333</v>
      </c>
      <c r="B4" t="s">
        <v>523</v>
      </c>
      <c r="D4" s="3">
        <v>1461</v>
      </c>
      <c r="E4" s="3">
        <v>184</v>
      </c>
      <c r="F4" s="3">
        <v>344</v>
      </c>
      <c r="G4" s="3" t="s">
        <v>311</v>
      </c>
      <c r="H4" s="3" t="s">
        <v>313</v>
      </c>
      <c r="I4" s="7">
        <v>21675</v>
      </c>
    </row>
    <row r="5" spans="1:11" x14ac:dyDescent="0.3">
      <c r="A5" s="9" t="s">
        <v>318</v>
      </c>
      <c r="B5" t="s">
        <v>524</v>
      </c>
      <c r="D5" s="3">
        <v>4054</v>
      </c>
      <c r="E5" s="3">
        <v>389</v>
      </c>
      <c r="F5" s="3">
        <v>493</v>
      </c>
      <c r="G5" s="3" t="s">
        <v>311</v>
      </c>
      <c r="H5" s="3" t="s">
        <v>315</v>
      </c>
      <c r="I5" s="7">
        <v>64383</v>
      </c>
    </row>
    <row r="6" spans="1:11" x14ac:dyDescent="0.3">
      <c r="A6" s="9" t="s">
        <v>318</v>
      </c>
      <c r="D6" s="3">
        <v>2795</v>
      </c>
      <c r="E6" s="3">
        <v>105</v>
      </c>
      <c r="F6" s="3">
        <v>49</v>
      </c>
      <c r="G6" s="3" t="s">
        <v>316</v>
      </c>
      <c r="H6" s="3" t="s">
        <v>313</v>
      </c>
      <c r="I6" s="7">
        <v>52307</v>
      </c>
    </row>
    <row r="7" spans="1:11" x14ac:dyDescent="0.3">
      <c r="A7" s="9" t="s">
        <v>322</v>
      </c>
      <c r="D7" s="3">
        <v>2404</v>
      </c>
      <c r="E7" s="3">
        <v>363</v>
      </c>
      <c r="F7" s="3">
        <v>138</v>
      </c>
      <c r="G7" s="3" t="s">
        <v>319</v>
      </c>
      <c r="H7" s="3" t="s">
        <v>321</v>
      </c>
      <c r="I7" s="7">
        <v>18636</v>
      </c>
    </row>
    <row r="8" spans="1:11" x14ac:dyDescent="0.3">
      <c r="A8" s="9" t="s">
        <v>322</v>
      </c>
      <c r="B8" t="s">
        <v>318</v>
      </c>
      <c r="D8" s="3">
        <v>3557</v>
      </c>
      <c r="E8" s="3">
        <v>687</v>
      </c>
      <c r="F8" s="3">
        <v>424</v>
      </c>
      <c r="G8" s="3" t="s">
        <v>316</v>
      </c>
      <c r="H8" s="3" t="s">
        <v>313</v>
      </c>
      <c r="I8" s="7">
        <v>70701</v>
      </c>
    </row>
    <row r="9" spans="1:11" x14ac:dyDescent="0.3">
      <c r="A9" s="9" t="s">
        <v>318</v>
      </c>
      <c r="D9" s="3">
        <v>2945</v>
      </c>
      <c r="E9" s="3">
        <v>930</v>
      </c>
      <c r="F9" s="3">
        <v>355</v>
      </c>
      <c r="G9" s="3" t="s">
        <v>324</v>
      </c>
      <c r="H9" s="3" t="s">
        <v>326</v>
      </c>
      <c r="I9" s="7">
        <v>23275</v>
      </c>
    </row>
    <row r="10" spans="1:11" x14ac:dyDescent="0.3">
      <c r="A10" s="9" t="s">
        <v>318</v>
      </c>
      <c r="D10" s="3">
        <v>3860</v>
      </c>
      <c r="E10" s="3">
        <v>201</v>
      </c>
      <c r="F10" s="3">
        <v>279</v>
      </c>
      <c r="G10" s="3" t="s">
        <v>311</v>
      </c>
      <c r="H10" s="3" t="s">
        <v>326</v>
      </c>
      <c r="I10" s="7">
        <v>61660</v>
      </c>
    </row>
    <row r="11" spans="1:11" x14ac:dyDescent="0.3">
      <c r="A11" s="9" t="s">
        <v>322</v>
      </c>
      <c r="D11" s="3">
        <v>3929</v>
      </c>
      <c r="E11" s="3">
        <v>262</v>
      </c>
      <c r="F11" s="3">
        <v>278</v>
      </c>
      <c r="G11" s="3" t="s">
        <v>316</v>
      </c>
      <c r="H11" s="3" t="s">
        <v>329</v>
      </c>
      <c r="I11" s="7">
        <v>42841</v>
      </c>
    </row>
    <row r="12" spans="1:11" x14ac:dyDescent="0.3">
      <c r="A12" s="9" t="s">
        <v>318</v>
      </c>
      <c r="D12" s="3">
        <v>3784</v>
      </c>
      <c r="E12" s="3">
        <v>808</v>
      </c>
      <c r="F12" s="3">
        <v>404</v>
      </c>
      <c r="G12" s="3" t="s">
        <v>324</v>
      </c>
      <c r="H12" s="3" t="s">
        <v>315</v>
      </c>
      <c r="I12" s="7">
        <v>56343</v>
      </c>
    </row>
    <row r="13" spans="1:11" x14ac:dyDescent="0.3">
      <c r="A13" s="9" t="s">
        <v>318</v>
      </c>
      <c r="D13" s="3">
        <v>4241</v>
      </c>
      <c r="E13" s="3">
        <v>902</v>
      </c>
      <c r="F13" s="3">
        <v>47</v>
      </c>
      <c r="G13" s="3" t="s">
        <v>324</v>
      </c>
      <c r="H13" s="3" t="s">
        <v>329</v>
      </c>
      <c r="I13" s="7">
        <v>71598</v>
      </c>
    </row>
    <row r="14" spans="1:11" x14ac:dyDescent="0.3">
      <c r="A14" s="9" t="s">
        <v>333</v>
      </c>
      <c r="D14" s="3">
        <v>1792</v>
      </c>
      <c r="E14" s="3">
        <v>614</v>
      </c>
      <c r="F14" s="3">
        <v>497</v>
      </c>
      <c r="G14" s="3" t="s">
        <v>319</v>
      </c>
      <c r="H14" s="3" t="s">
        <v>321</v>
      </c>
      <c r="I14" s="7">
        <v>24675</v>
      </c>
    </row>
    <row r="15" spans="1:11" x14ac:dyDescent="0.3">
      <c r="A15" s="9" t="s">
        <v>333</v>
      </c>
      <c r="D15" s="3">
        <v>1946</v>
      </c>
      <c r="E15" s="3">
        <v>686</v>
      </c>
      <c r="F15" s="3">
        <v>377</v>
      </c>
      <c r="G15" s="3" t="s">
        <v>324</v>
      </c>
      <c r="H15" s="3" t="s">
        <v>313</v>
      </c>
      <c r="I15" s="7">
        <v>22982</v>
      </c>
    </row>
    <row r="16" spans="1:11" x14ac:dyDescent="0.3">
      <c r="A16" s="9" t="s">
        <v>322</v>
      </c>
      <c r="D16" s="3">
        <v>1171</v>
      </c>
      <c r="E16" s="3">
        <v>286</v>
      </c>
      <c r="F16" s="3">
        <v>231</v>
      </c>
      <c r="G16" s="3" t="s">
        <v>316</v>
      </c>
      <c r="H16" s="3" t="s">
        <v>326</v>
      </c>
      <c r="I16" s="7">
        <v>21282</v>
      </c>
    </row>
    <row r="17" spans="1:14" x14ac:dyDescent="0.3">
      <c r="A17" s="9" t="s">
        <v>333</v>
      </c>
      <c r="D17" s="3">
        <v>4242</v>
      </c>
      <c r="E17" s="3">
        <v>555</v>
      </c>
      <c r="F17" s="3">
        <v>131</v>
      </c>
      <c r="G17" s="3" t="s">
        <v>324</v>
      </c>
      <c r="H17" s="3" t="s">
        <v>321</v>
      </c>
      <c r="I17" s="7">
        <v>33802</v>
      </c>
    </row>
    <row r="18" spans="1:14" x14ac:dyDescent="0.3">
      <c r="A18" s="9" t="s">
        <v>333</v>
      </c>
      <c r="D18" s="3">
        <v>3888</v>
      </c>
      <c r="E18" s="3">
        <v>604</v>
      </c>
      <c r="F18" s="3">
        <v>128</v>
      </c>
      <c r="G18" s="3" t="s">
        <v>324</v>
      </c>
      <c r="H18" s="3" t="s">
        <v>338</v>
      </c>
      <c r="I18" s="7">
        <v>77167</v>
      </c>
    </row>
    <row r="19" spans="1:14" x14ac:dyDescent="0.3">
      <c r="A19" s="9" t="s">
        <v>333</v>
      </c>
      <c r="D19" s="3">
        <v>3452</v>
      </c>
      <c r="E19" s="3">
        <v>377</v>
      </c>
      <c r="F19" s="3">
        <v>360</v>
      </c>
      <c r="G19" s="3" t="s">
        <v>324</v>
      </c>
      <c r="H19" s="3" t="s">
        <v>315</v>
      </c>
      <c r="I19" s="7">
        <v>55075</v>
      </c>
    </row>
    <row r="20" spans="1:14" x14ac:dyDescent="0.3">
      <c r="A20" s="9" t="s">
        <v>322</v>
      </c>
      <c r="D20" s="3">
        <v>4441</v>
      </c>
      <c r="E20" s="3">
        <v>511</v>
      </c>
      <c r="F20" s="3">
        <v>70</v>
      </c>
      <c r="G20" s="3" t="s">
        <v>324</v>
      </c>
      <c r="H20" s="3" t="s">
        <v>315</v>
      </c>
      <c r="I20" s="7">
        <v>53082</v>
      </c>
    </row>
    <row r="21" spans="1:14" x14ac:dyDescent="0.3">
      <c r="A21" s="9" t="s">
        <v>333</v>
      </c>
      <c r="D21" s="3">
        <v>3000</v>
      </c>
      <c r="E21" s="3">
        <v>382</v>
      </c>
      <c r="F21" s="3">
        <v>325</v>
      </c>
      <c r="G21" s="3" t="s">
        <v>319</v>
      </c>
      <c r="H21" s="3" t="s">
        <v>313</v>
      </c>
      <c r="I21" s="7">
        <v>35819</v>
      </c>
    </row>
    <row r="22" spans="1:14" x14ac:dyDescent="0.3">
      <c r="A22" s="9" t="s">
        <v>318</v>
      </c>
      <c r="D22" s="3">
        <v>1071</v>
      </c>
      <c r="E22" s="3">
        <v>519</v>
      </c>
      <c r="F22" s="3">
        <v>22</v>
      </c>
      <c r="G22" s="3" t="s">
        <v>319</v>
      </c>
      <c r="H22" s="3" t="s">
        <v>338</v>
      </c>
      <c r="I22" s="7">
        <v>15865</v>
      </c>
      <c r="K22" s="63"/>
    </row>
    <row r="23" spans="1:14" x14ac:dyDescent="0.3">
      <c r="A23" s="9" t="s">
        <v>318</v>
      </c>
      <c r="D23" s="3">
        <v>4054</v>
      </c>
      <c r="E23" s="3">
        <v>488</v>
      </c>
      <c r="F23" s="3">
        <v>373</v>
      </c>
      <c r="G23" s="3" t="s">
        <v>319</v>
      </c>
      <c r="H23" s="3" t="s">
        <v>326</v>
      </c>
      <c r="I23" s="7">
        <v>76881</v>
      </c>
    </row>
    <row r="24" spans="1:14" x14ac:dyDescent="0.3">
      <c r="A24" s="9" t="s">
        <v>333</v>
      </c>
      <c r="D24" s="3">
        <v>4838</v>
      </c>
      <c r="E24" s="3">
        <v>640</v>
      </c>
      <c r="F24" s="3">
        <v>128</v>
      </c>
      <c r="G24" s="3" t="s">
        <v>319</v>
      </c>
      <c r="H24" s="3" t="s">
        <v>313</v>
      </c>
      <c r="I24" s="7">
        <v>72396</v>
      </c>
      <c r="K24" s="25" t="s">
        <v>533</v>
      </c>
      <c r="L24" s="25" t="s">
        <v>554</v>
      </c>
      <c r="M24" s="25" t="s">
        <v>555</v>
      </c>
      <c r="N24" s="25" t="s">
        <v>556</v>
      </c>
    </row>
    <row r="25" spans="1:14" x14ac:dyDescent="0.3">
      <c r="A25" s="9" t="s">
        <v>318</v>
      </c>
      <c r="D25" s="3">
        <v>1570</v>
      </c>
      <c r="E25" s="3">
        <v>187</v>
      </c>
      <c r="F25" s="3">
        <v>260</v>
      </c>
      <c r="G25" s="3" t="s">
        <v>324</v>
      </c>
      <c r="H25" s="3" t="s">
        <v>315</v>
      </c>
      <c r="I25" s="7">
        <v>24613</v>
      </c>
      <c r="K25" s="21" t="s">
        <v>333</v>
      </c>
      <c r="L25" s="22">
        <v>2634.7184466019417</v>
      </c>
      <c r="M25" s="22">
        <v>262.50485436893206</v>
      </c>
      <c r="N25" s="22">
        <v>508.63106796116506</v>
      </c>
    </row>
    <row r="26" spans="1:14" x14ac:dyDescent="0.3">
      <c r="A26" s="9" t="s">
        <v>318</v>
      </c>
      <c r="B26" t="s">
        <v>523</v>
      </c>
      <c r="D26" s="3">
        <v>1606</v>
      </c>
      <c r="E26" s="3">
        <v>547</v>
      </c>
      <c r="F26" s="3">
        <v>316</v>
      </c>
      <c r="G26" s="3" t="s">
        <v>324</v>
      </c>
      <c r="H26" s="3" t="s">
        <v>338</v>
      </c>
      <c r="I26" s="7">
        <v>31736</v>
      </c>
      <c r="K26" s="23" t="s">
        <v>523</v>
      </c>
      <c r="L26" s="22">
        <v>1959.3333333333333</v>
      </c>
      <c r="M26" s="22">
        <v>330.66666666666669</v>
      </c>
      <c r="N26" s="22">
        <v>135.66666666666666</v>
      </c>
    </row>
    <row r="27" spans="1:14" x14ac:dyDescent="0.3">
      <c r="A27" s="9" t="s">
        <v>333</v>
      </c>
      <c r="D27" s="3">
        <v>3961</v>
      </c>
      <c r="E27" s="3">
        <v>761</v>
      </c>
      <c r="F27" s="3">
        <v>131</v>
      </c>
      <c r="G27" s="3" t="s">
        <v>324</v>
      </c>
      <c r="H27" s="3" t="s">
        <v>338</v>
      </c>
      <c r="I27" s="7">
        <v>66615</v>
      </c>
      <c r="K27" s="24" t="s">
        <v>322</v>
      </c>
      <c r="L27" s="22">
        <v>1257</v>
      </c>
      <c r="M27" s="22">
        <v>351</v>
      </c>
      <c r="N27" s="22">
        <v>19</v>
      </c>
    </row>
    <row r="28" spans="1:14" x14ac:dyDescent="0.3">
      <c r="A28" s="9" t="s">
        <v>322</v>
      </c>
      <c r="D28" s="3">
        <v>3128</v>
      </c>
      <c r="E28" s="3">
        <v>211</v>
      </c>
      <c r="F28" s="3">
        <v>197</v>
      </c>
      <c r="G28" s="3" t="s">
        <v>311</v>
      </c>
      <c r="H28" s="3" t="s">
        <v>326</v>
      </c>
      <c r="I28" s="7">
        <v>59182</v>
      </c>
      <c r="K28" s="24" t="s">
        <v>543</v>
      </c>
      <c r="L28" s="22">
        <v>2310.5</v>
      </c>
      <c r="M28" s="22">
        <v>320.5</v>
      </c>
      <c r="N28" s="22">
        <v>194</v>
      </c>
    </row>
    <row r="29" spans="1:14" x14ac:dyDescent="0.3">
      <c r="A29" s="9" t="s">
        <v>333</v>
      </c>
      <c r="D29" s="3">
        <v>3009</v>
      </c>
      <c r="E29" s="3">
        <v>413</v>
      </c>
      <c r="F29" s="3">
        <v>358</v>
      </c>
      <c r="G29" s="3" t="s">
        <v>316</v>
      </c>
      <c r="H29" s="3" t="s">
        <v>313</v>
      </c>
      <c r="I29" s="7">
        <v>41309</v>
      </c>
      <c r="K29" s="23" t="s">
        <v>318</v>
      </c>
      <c r="L29" s="22">
        <v>1197</v>
      </c>
      <c r="M29" s="22">
        <v>320.33333333333331</v>
      </c>
      <c r="N29" s="22">
        <v>298.66666666666669</v>
      </c>
    </row>
    <row r="30" spans="1:14" x14ac:dyDescent="0.3">
      <c r="A30" s="9" t="s">
        <v>333</v>
      </c>
      <c r="D30" s="3">
        <v>2076</v>
      </c>
      <c r="E30" s="3">
        <v>195</v>
      </c>
      <c r="F30" s="3">
        <v>104</v>
      </c>
      <c r="G30" s="3" t="s">
        <v>316</v>
      </c>
      <c r="H30" s="3" t="s">
        <v>315</v>
      </c>
      <c r="I30" s="7">
        <v>32244</v>
      </c>
      <c r="K30" s="24" t="s">
        <v>523</v>
      </c>
      <c r="L30" s="22">
        <v>1197</v>
      </c>
      <c r="M30" s="22">
        <v>320.33333333333331</v>
      </c>
      <c r="N30" s="22">
        <v>298.66666666666669</v>
      </c>
    </row>
    <row r="31" spans="1:14" x14ac:dyDescent="0.3">
      <c r="A31" s="9" t="s">
        <v>333</v>
      </c>
      <c r="D31" s="3">
        <v>432</v>
      </c>
      <c r="E31" s="3">
        <v>624</v>
      </c>
      <c r="F31" s="3">
        <v>123</v>
      </c>
      <c r="G31" s="3" t="s">
        <v>319</v>
      </c>
      <c r="H31" s="3" t="s">
        <v>338</v>
      </c>
      <c r="I31" s="7">
        <v>6259</v>
      </c>
      <c r="K31" s="23" t="s">
        <v>525</v>
      </c>
      <c r="L31" s="22">
        <v>1814</v>
      </c>
      <c r="M31" s="22">
        <v>363</v>
      </c>
      <c r="N31" s="22">
        <v>653</v>
      </c>
    </row>
    <row r="32" spans="1:14" x14ac:dyDescent="0.3">
      <c r="A32" s="9" t="s">
        <v>333</v>
      </c>
      <c r="D32" s="3">
        <v>2566</v>
      </c>
      <c r="E32" s="3">
        <v>118</v>
      </c>
      <c r="F32" s="3">
        <v>37</v>
      </c>
      <c r="G32" s="3" t="s">
        <v>319</v>
      </c>
      <c r="H32" s="3" t="s">
        <v>326</v>
      </c>
      <c r="I32" s="7">
        <v>12264</v>
      </c>
      <c r="K32" s="24" t="s">
        <v>543</v>
      </c>
      <c r="L32" s="22">
        <v>1814</v>
      </c>
      <c r="M32" s="22">
        <v>363</v>
      </c>
      <c r="N32" s="22">
        <v>653</v>
      </c>
    </row>
    <row r="33" spans="1:14" x14ac:dyDescent="0.3">
      <c r="A33" s="9" t="s">
        <v>322</v>
      </c>
      <c r="D33" s="3">
        <v>3095</v>
      </c>
      <c r="E33" s="3">
        <v>39</v>
      </c>
      <c r="F33" s="3">
        <v>78</v>
      </c>
      <c r="G33" s="3" t="s">
        <v>319</v>
      </c>
      <c r="H33" s="3" t="s">
        <v>338</v>
      </c>
      <c r="I33" s="7">
        <v>54808</v>
      </c>
      <c r="K33" s="23" t="s">
        <v>322</v>
      </c>
      <c r="L33" s="22">
        <v>3960</v>
      </c>
      <c r="M33" s="22">
        <v>8</v>
      </c>
      <c r="N33" s="22">
        <v>266</v>
      </c>
    </row>
    <row r="34" spans="1:14" x14ac:dyDescent="0.3">
      <c r="A34" s="9" t="s">
        <v>318</v>
      </c>
      <c r="D34" s="3">
        <v>438</v>
      </c>
      <c r="E34" s="3">
        <v>153</v>
      </c>
      <c r="F34" s="3">
        <v>275</v>
      </c>
      <c r="G34" s="3" t="s">
        <v>319</v>
      </c>
      <c r="H34" s="3" t="s">
        <v>315</v>
      </c>
      <c r="I34" s="7">
        <v>2701</v>
      </c>
      <c r="K34" s="24" t="s">
        <v>524</v>
      </c>
      <c r="L34" s="22">
        <v>3960</v>
      </c>
      <c r="M34" s="22">
        <v>8</v>
      </c>
      <c r="N34" s="22">
        <v>266</v>
      </c>
    </row>
    <row r="35" spans="1:14" x14ac:dyDescent="0.3">
      <c r="A35" s="9" t="s">
        <v>322</v>
      </c>
      <c r="D35" s="3">
        <v>2278</v>
      </c>
      <c r="E35" s="3">
        <v>10</v>
      </c>
      <c r="F35" s="3">
        <v>321</v>
      </c>
      <c r="G35" s="3" t="s">
        <v>311</v>
      </c>
      <c r="H35" s="3" t="s">
        <v>326</v>
      </c>
      <c r="I35" s="7">
        <v>12676</v>
      </c>
      <c r="K35" s="23" t="s">
        <v>543</v>
      </c>
      <c r="L35" s="22">
        <v>2696.136842105263</v>
      </c>
      <c r="M35" s="22">
        <v>260.14736842105265</v>
      </c>
      <c r="N35" s="22">
        <v>528.07368421052627</v>
      </c>
    </row>
    <row r="36" spans="1:14" x14ac:dyDescent="0.3">
      <c r="A36" s="9" t="s">
        <v>318</v>
      </c>
      <c r="D36" s="3">
        <v>1407</v>
      </c>
      <c r="E36" s="3">
        <v>400</v>
      </c>
      <c r="F36" s="3">
        <v>351</v>
      </c>
      <c r="G36" s="3" t="s">
        <v>324</v>
      </c>
      <c r="H36" s="3" t="s">
        <v>329</v>
      </c>
      <c r="I36" s="7">
        <v>15954</v>
      </c>
      <c r="K36" s="24" t="s">
        <v>543</v>
      </c>
      <c r="L36" s="22">
        <v>2696.136842105263</v>
      </c>
      <c r="M36" s="22">
        <v>260.14736842105265</v>
      </c>
      <c r="N36" s="22">
        <v>528.07368421052627</v>
      </c>
    </row>
    <row r="37" spans="1:14" x14ac:dyDescent="0.3">
      <c r="A37" s="9" t="s">
        <v>318</v>
      </c>
      <c r="D37" s="3">
        <v>1652</v>
      </c>
      <c r="E37" s="3">
        <v>89</v>
      </c>
      <c r="F37" s="3">
        <v>357</v>
      </c>
      <c r="G37" s="3" t="s">
        <v>324</v>
      </c>
      <c r="H37" s="3" t="s">
        <v>315</v>
      </c>
      <c r="I37" s="7">
        <v>28771</v>
      </c>
      <c r="K37" s="21" t="s">
        <v>318</v>
      </c>
      <c r="L37" s="22">
        <v>2761.9</v>
      </c>
      <c r="M37" s="22">
        <v>250.43</v>
      </c>
      <c r="N37" s="22">
        <v>455.8</v>
      </c>
    </row>
    <row r="38" spans="1:14" x14ac:dyDescent="0.3">
      <c r="A38" s="9" t="s">
        <v>333</v>
      </c>
      <c r="D38" s="3">
        <v>3775</v>
      </c>
      <c r="E38" s="3">
        <v>16</v>
      </c>
      <c r="F38" s="3">
        <v>239</v>
      </c>
      <c r="G38" s="3" t="s">
        <v>319</v>
      </c>
      <c r="H38" s="3" t="s">
        <v>338</v>
      </c>
      <c r="I38" s="7">
        <v>33310</v>
      </c>
      <c r="K38" s="23" t="s">
        <v>523</v>
      </c>
      <c r="L38" s="22">
        <v>2930.4</v>
      </c>
      <c r="M38" s="22">
        <v>199.2</v>
      </c>
      <c r="N38" s="22">
        <v>487.8</v>
      </c>
    </row>
    <row r="39" spans="1:14" x14ac:dyDescent="0.3">
      <c r="A39" s="9" t="s">
        <v>322</v>
      </c>
      <c r="D39" s="3">
        <v>4518</v>
      </c>
      <c r="E39" s="3">
        <v>285</v>
      </c>
      <c r="F39" s="3">
        <v>383</v>
      </c>
      <c r="G39" s="3" t="s">
        <v>319</v>
      </c>
      <c r="H39" s="3" t="s">
        <v>321</v>
      </c>
      <c r="I39" s="7">
        <v>67621</v>
      </c>
      <c r="K39" s="24" t="s">
        <v>543</v>
      </c>
      <c r="L39" s="22">
        <v>2930.4</v>
      </c>
      <c r="M39" s="22">
        <v>199.2</v>
      </c>
      <c r="N39" s="22">
        <v>487.8</v>
      </c>
    </row>
    <row r="40" spans="1:14" x14ac:dyDescent="0.3">
      <c r="A40" s="9" t="s">
        <v>322</v>
      </c>
      <c r="D40" s="3">
        <v>3024</v>
      </c>
      <c r="E40" s="3">
        <v>925</v>
      </c>
      <c r="F40" s="3">
        <v>350</v>
      </c>
      <c r="G40" s="3" t="s">
        <v>324</v>
      </c>
      <c r="H40" s="3" t="s">
        <v>326</v>
      </c>
      <c r="I40" s="7">
        <v>23518</v>
      </c>
      <c r="K40" s="23" t="s">
        <v>524</v>
      </c>
      <c r="L40" s="22">
        <v>4054</v>
      </c>
      <c r="M40" s="22">
        <v>493</v>
      </c>
      <c r="N40" s="22">
        <v>389</v>
      </c>
    </row>
    <row r="41" spans="1:14" x14ac:dyDescent="0.3">
      <c r="A41" s="9" t="s">
        <v>318</v>
      </c>
      <c r="D41" s="3">
        <v>3138</v>
      </c>
      <c r="E41" s="3">
        <v>123</v>
      </c>
      <c r="F41" s="3">
        <v>291</v>
      </c>
      <c r="G41" s="3" t="s">
        <v>316</v>
      </c>
      <c r="H41" s="3" t="s">
        <v>313</v>
      </c>
      <c r="I41" s="7">
        <v>27550</v>
      </c>
      <c r="K41" s="24" t="s">
        <v>543</v>
      </c>
      <c r="L41" s="22">
        <v>4054</v>
      </c>
      <c r="M41" s="22">
        <v>493</v>
      </c>
      <c r="N41" s="22">
        <v>389</v>
      </c>
    </row>
    <row r="42" spans="1:14" x14ac:dyDescent="0.3">
      <c r="A42" s="9" t="s">
        <v>318</v>
      </c>
      <c r="D42" s="3">
        <v>3564</v>
      </c>
      <c r="E42" s="3">
        <v>629</v>
      </c>
      <c r="F42" s="3">
        <v>177</v>
      </c>
      <c r="G42" s="3" t="s">
        <v>324</v>
      </c>
      <c r="H42" s="3" t="s">
        <v>329</v>
      </c>
      <c r="I42" s="7">
        <v>59627</v>
      </c>
      <c r="K42" s="23" t="s">
        <v>525</v>
      </c>
      <c r="L42" s="22">
        <v>3844.6666666666665</v>
      </c>
      <c r="M42" s="22">
        <v>189.66666666666666</v>
      </c>
      <c r="N42" s="22">
        <v>350</v>
      </c>
    </row>
    <row r="43" spans="1:14" x14ac:dyDescent="0.3">
      <c r="A43" s="9" t="s">
        <v>322</v>
      </c>
      <c r="D43" s="3">
        <v>4750</v>
      </c>
      <c r="E43" s="3">
        <v>151</v>
      </c>
      <c r="F43" s="3">
        <v>415</v>
      </c>
      <c r="G43" s="3" t="s">
        <v>311</v>
      </c>
      <c r="H43" s="3" t="s">
        <v>329</v>
      </c>
      <c r="I43" s="7">
        <v>37792</v>
      </c>
      <c r="K43" s="24" t="s">
        <v>543</v>
      </c>
      <c r="L43" s="22">
        <v>3844.6666666666665</v>
      </c>
      <c r="M43" s="22">
        <v>189.66666666666666</v>
      </c>
      <c r="N43" s="22">
        <v>350</v>
      </c>
    </row>
    <row r="44" spans="1:14" x14ac:dyDescent="0.3">
      <c r="A44" s="9" t="s">
        <v>333</v>
      </c>
      <c r="D44" s="3">
        <v>456</v>
      </c>
      <c r="E44" s="3">
        <v>629</v>
      </c>
      <c r="F44" s="3">
        <v>428</v>
      </c>
      <c r="G44" s="3" t="s">
        <v>319</v>
      </c>
      <c r="H44" s="3" t="s">
        <v>313</v>
      </c>
      <c r="I44" s="7">
        <v>7377</v>
      </c>
      <c r="K44" s="23" t="s">
        <v>322</v>
      </c>
      <c r="L44" s="22">
        <v>4413</v>
      </c>
      <c r="M44" s="22">
        <v>132</v>
      </c>
      <c r="N44" s="22">
        <v>744</v>
      </c>
    </row>
    <row r="45" spans="1:14" x14ac:dyDescent="0.3">
      <c r="A45" s="9" t="s">
        <v>322</v>
      </c>
      <c r="D45" s="3">
        <v>1543</v>
      </c>
      <c r="E45" s="3">
        <v>820</v>
      </c>
      <c r="F45" s="3">
        <v>333</v>
      </c>
      <c r="G45" s="3" t="s">
        <v>316</v>
      </c>
      <c r="H45" s="3" t="s">
        <v>313</v>
      </c>
      <c r="I45" s="7">
        <v>11496</v>
      </c>
      <c r="K45" s="24" t="s">
        <v>524</v>
      </c>
      <c r="L45" s="22">
        <v>4413</v>
      </c>
      <c r="M45" s="22">
        <v>132</v>
      </c>
      <c r="N45" s="22">
        <v>744</v>
      </c>
    </row>
    <row r="46" spans="1:14" x14ac:dyDescent="0.3">
      <c r="A46" s="9" t="s">
        <v>318</v>
      </c>
      <c r="D46" s="3">
        <v>2174</v>
      </c>
      <c r="E46" s="3">
        <v>658</v>
      </c>
      <c r="F46" s="3">
        <v>15</v>
      </c>
      <c r="G46" s="3" t="s">
        <v>319</v>
      </c>
      <c r="H46" s="3" t="s">
        <v>326</v>
      </c>
      <c r="I46" s="7">
        <v>12206</v>
      </c>
      <c r="K46" s="23" t="s">
        <v>543</v>
      </c>
      <c r="L46" s="22">
        <v>2664.3146067415732</v>
      </c>
      <c r="M46" s="22">
        <v>255.29213483146069</v>
      </c>
      <c r="N46" s="22">
        <v>451.84269662921349</v>
      </c>
    </row>
    <row r="47" spans="1:14" x14ac:dyDescent="0.3">
      <c r="A47" s="9" t="s">
        <v>318</v>
      </c>
      <c r="D47" s="3">
        <v>2358</v>
      </c>
      <c r="E47" s="3">
        <v>784</v>
      </c>
      <c r="F47" s="3">
        <v>344</v>
      </c>
      <c r="G47" s="3" t="s">
        <v>311</v>
      </c>
      <c r="H47" s="3" t="s">
        <v>329</v>
      </c>
      <c r="I47" s="7">
        <v>34475</v>
      </c>
      <c r="K47" s="24" t="s">
        <v>543</v>
      </c>
      <c r="L47" s="22">
        <v>2664.3146067415732</v>
      </c>
      <c r="M47" s="22">
        <v>255.29213483146069</v>
      </c>
      <c r="N47" s="22">
        <v>451.84269662921349</v>
      </c>
    </row>
    <row r="48" spans="1:14" x14ac:dyDescent="0.3">
      <c r="A48" s="9" t="s">
        <v>333</v>
      </c>
      <c r="D48" s="3">
        <v>3371</v>
      </c>
      <c r="E48" s="3">
        <v>106</v>
      </c>
      <c r="F48" s="3">
        <v>327</v>
      </c>
      <c r="G48" s="3" t="s">
        <v>324</v>
      </c>
      <c r="H48" s="3" t="s">
        <v>338</v>
      </c>
      <c r="I48" s="7">
        <v>49816</v>
      </c>
      <c r="K48" s="21" t="s">
        <v>322</v>
      </c>
      <c r="L48" s="22">
        <v>2808.5051546391751</v>
      </c>
      <c r="M48" s="22">
        <v>234.74226804123711</v>
      </c>
      <c r="N48" s="22">
        <v>463.46391752577318</v>
      </c>
    </row>
    <row r="49" spans="1:14" x14ac:dyDescent="0.3">
      <c r="A49" s="9" t="s">
        <v>318</v>
      </c>
      <c r="D49" s="3">
        <v>1108</v>
      </c>
      <c r="E49" s="3">
        <v>177</v>
      </c>
      <c r="F49" s="3">
        <v>212</v>
      </c>
      <c r="G49" s="3" t="s">
        <v>311</v>
      </c>
      <c r="H49" s="3" t="s">
        <v>338</v>
      </c>
      <c r="I49" s="7">
        <v>8710</v>
      </c>
      <c r="K49" s="23" t="s">
        <v>523</v>
      </c>
      <c r="L49" s="22">
        <v>3065</v>
      </c>
      <c r="M49" s="22">
        <v>142</v>
      </c>
      <c r="N49" s="22">
        <v>772</v>
      </c>
    </row>
    <row r="50" spans="1:14" x14ac:dyDescent="0.3">
      <c r="A50" s="9" t="s">
        <v>333</v>
      </c>
      <c r="D50" s="3">
        <v>2704</v>
      </c>
      <c r="E50" s="3">
        <v>752</v>
      </c>
      <c r="F50" s="3">
        <v>153</v>
      </c>
      <c r="G50" s="3" t="s">
        <v>311</v>
      </c>
      <c r="H50" s="3" t="s">
        <v>326</v>
      </c>
      <c r="I50" s="7">
        <v>20792</v>
      </c>
      <c r="K50" s="24" t="s">
        <v>543</v>
      </c>
      <c r="L50" s="22">
        <v>3065</v>
      </c>
      <c r="M50" s="22">
        <v>142</v>
      </c>
      <c r="N50" s="22">
        <v>772</v>
      </c>
    </row>
    <row r="51" spans="1:14" x14ac:dyDescent="0.3">
      <c r="A51" s="9" t="s">
        <v>318</v>
      </c>
      <c r="D51" s="3">
        <v>1950</v>
      </c>
      <c r="E51" s="3">
        <v>295</v>
      </c>
      <c r="F51" s="3">
        <v>478</v>
      </c>
      <c r="G51" s="3" t="s">
        <v>311</v>
      </c>
      <c r="H51" s="3" t="s">
        <v>321</v>
      </c>
      <c r="I51" s="7">
        <v>36272</v>
      </c>
      <c r="K51" s="23" t="s">
        <v>524</v>
      </c>
      <c r="L51" s="22">
        <v>2116</v>
      </c>
      <c r="M51" s="22">
        <v>64</v>
      </c>
      <c r="N51" s="22">
        <v>472</v>
      </c>
    </row>
    <row r="52" spans="1:14" x14ac:dyDescent="0.3">
      <c r="A52" s="9" t="s">
        <v>318</v>
      </c>
      <c r="D52" s="3">
        <v>2164</v>
      </c>
      <c r="E52" s="3">
        <v>549</v>
      </c>
      <c r="F52" s="3">
        <v>274</v>
      </c>
      <c r="G52" s="3" t="s">
        <v>311</v>
      </c>
      <c r="H52" s="3" t="s">
        <v>321</v>
      </c>
      <c r="I52" s="7">
        <v>27361</v>
      </c>
      <c r="K52" s="24" t="s">
        <v>543</v>
      </c>
      <c r="L52" s="22">
        <v>2116</v>
      </c>
      <c r="M52" s="22">
        <v>64</v>
      </c>
      <c r="N52" s="22">
        <v>472</v>
      </c>
    </row>
    <row r="53" spans="1:14" x14ac:dyDescent="0.3">
      <c r="A53" s="9" t="s">
        <v>318</v>
      </c>
      <c r="D53" s="3">
        <v>2754</v>
      </c>
      <c r="E53" s="3">
        <v>130</v>
      </c>
      <c r="F53" s="3">
        <v>90</v>
      </c>
      <c r="G53" s="3" t="s">
        <v>316</v>
      </c>
      <c r="H53" s="3" t="s">
        <v>321</v>
      </c>
      <c r="I53" s="7">
        <v>21288</v>
      </c>
      <c r="K53" s="23" t="s">
        <v>318</v>
      </c>
      <c r="L53" s="22">
        <v>2416.25</v>
      </c>
      <c r="M53" s="22">
        <v>298.5</v>
      </c>
      <c r="N53" s="22">
        <v>633</v>
      </c>
    </row>
    <row r="54" spans="1:14" x14ac:dyDescent="0.3">
      <c r="A54" s="9" t="s">
        <v>333</v>
      </c>
      <c r="D54" s="3">
        <v>2200</v>
      </c>
      <c r="E54" s="3">
        <v>504</v>
      </c>
      <c r="F54" s="3">
        <v>239</v>
      </c>
      <c r="G54" s="3" t="s">
        <v>324</v>
      </c>
      <c r="H54" s="3" t="s">
        <v>326</v>
      </c>
      <c r="I54" s="7">
        <v>36938</v>
      </c>
      <c r="K54" s="24" t="s">
        <v>523</v>
      </c>
      <c r="L54" s="22">
        <v>2036</v>
      </c>
      <c r="M54" s="22">
        <v>256.66666666666669</v>
      </c>
      <c r="N54" s="22">
        <v>615</v>
      </c>
    </row>
    <row r="55" spans="1:14" x14ac:dyDescent="0.3">
      <c r="A55" s="9" t="s">
        <v>318</v>
      </c>
      <c r="D55" s="3">
        <v>947</v>
      </c>
      <c r="E55" s="3">
        <v>338</v>
      </c>
      <c r="F55" s="3">
        <v>350</v>
      </c>
      <c r="G55" s="3" t="s">
        <v>324</v>
      </c>
      <c r="H55" s="3" t="s">
        <v>329</v>
      </c>
      <c r="I55" s="7">
        <v>9730</v>
      </c>
      <c r="K55" s="24" t="s">
        <v>543</v>
      </c>
      <c r="L55" s="22">
        <v>3557</v>
      </c>
      <c r="M55" s="22">
        <v>424</v>
      </c>
      <c r="N55" s="22">
        <v>687</v>
      </c>
    </row>
    <row r="56" spans="1:14" x14ac:dyDescent="0.3">
      <c r="A56" s="9" t="s">
        <v>322</v>
      </c>
      <c r="B56" t="s">
        <v>524</v>
      </c>
      <c r="D56" s="3">
        <v>804</v>
      </c>
      <c r="E56" s="3">
        <v>639</v>
      </c>
      <c r="F56" s="3">
        <v>43</v>
      </c>
      <c r="G56" s="3" t="s">
        <v>316</v>
      </c>
      <c r="H56" s="3" t="s">
        <v>326</v>
      </c>
      <c r="I56" s="7">
        <v>3144</v>
      </c>
      <c r="K56" s="23" t="s">
        <v>525</v>
      </c>
      <c r="L56" s="22">
        <v>2291</v>
      </c>
      <c r="M56" s="22">
        <v>485</v>
      </c>
      <c r="N56" s="22">
        <v>78</v>
      </c>
    </row>
    <row r="57" spans="1:14" x14ac:dyDescent="0.3">
      <c r="A57" s="9" t="s">
        <v>333</v>
      </c>
      <c r="D57" s="3">
        <v>1686</v>
      </c>
      <c r="E57" s="3">
        <v>904</v>
      </c>
      <c r="F57" s="3">
        <v>472</v>
      </c>
      <c r="G57" s="3" t="s">
        <v>316</v>
      </c>
      <c r="H57" s="3" t="s">
        <v>326</v>
      </c>
      <c r="I57" s="7">
        <v>18171</v>
      </c>
      <c r="K57" s="24" t="s">
        <v>543</v>
      </c>
      <c r="L57" s="22">
        <v>2291</v>
      </c>
      <c r="M57" s="22">
        <v>485</v>
      </c>
      <c r="N57" s="22">
        <v>78</v>
      </c>
    </row>
    <row r="58" spans="1:14" x14ac:dyDescent="0.3">
      <c r="A58" s="9" t="s">
        <v>322</v>
      </c>
      <c r="D58" s="3">
        <v>1226</v>
      </c>
      <c r="E58" s="3">
        <v>119</v>
      </c>
      <c r="F58" s="3">
        <v>7</v>
      </c>
      <c r="G58" s="3" t="s">
        <v>324</v>
      </c>
      <c r="H58" s="3" t="s">
        <v>329</v>
      </c>
      <c r="I58" s="7">
        <v>14049</v>
      </c>
      <c r="K58" s="23" t="s">
        <v>322</v>
      </c>
      <c r="L58" s="22">
        <v>3090</v>
      </c>
      <c r="M58" s="22">
        <v>164</v>
      </c>
      <c r="N58" s="22">
        <v>697</v>
      </c>
    </row>
    <row r="59" spans="1:14" x14ac:dyDescent="0.3">
      <c r="A59" s="9" t="s">
        <v>333</v>
      </c>
      <c r="D59" s="3">
        <v>2946</v>
      </c>
      <c r="E59" s="3">
        <v>498</v>
      </c>
      <c r="F59" s="3">
        <v>367</v>
      </c>
      <c r="G59" s="3" t="s">
        <v>324</v>
      </c>
      <c r="H59" s="3" t="s">
        <v>326</v>
      </c>
      <c r="I59" s="7">
        <v>28527</v>
      </c>
      <c r="K59" s="24" t="s">
        <v>524</v>
      </c>
      <c r="L59" s="22">
        <v>3090</v>
      </c>
      <c r="M59" s="22">
        <v>164</v>
      </c>
      <c r="N59" s="22">
        <v>697</v>
      </c>
    </row>
    <row r="60" spans="1:14" x14ac:dyDescent="0.3">
      <c r="A60" s="9" t="s">
        <v>318</v>
      </c>
      <c r="D60" s="3">
        <v>2825</v>
      </c>
      <c r="E60" s="3">
        <v>535</v>
      </c>
      <c r="F60" s="3">
        <v>295</v>
      </c>
      <c r="G60" s="3" t="s">
        <v>311</v>
      </c>
      <c r="H60" s="3" t="s">
        <v>338</v>
      </c>
      <c r="I60" s="7">
        <v>44739</v>
      </c>
      <c r="K60" s="23" t="s">
        <v>543</v>
      </c>
      <c r="L60" s="22">
        <v>2841.840909090909</v>
      </c>
      <c r="M60" s="22">
        <v>234.73863636363637</v>
      </c>
      <c r="N60" s="22">
        <v>453.78409090909093</v>
      </c>
    </row>
    <row r="61" spans="1:14" x14ac:dyDescent="0.3">
      <c r="A61" s="9" t="s">
        <v>318</v>
      </c>
      <c r="D61" s="3">
        <v>103</v>
      </c>
      <c r="E61" s="3">
        <v>770</v>
      </c>
      <c r="F61" s="3">
        <v>19</v>
      </c>
      <c r="G61" s="3" t="s">
        <v>319</v>
      </c>
      <c r="H61" s="3" t="s">
        <v>313</v>
      </c>
      <c r="I61" s="7">
        <v>410</v>
      </c>
      <c r="K61" s="24" t="s">
        <v>543</v>
      </c>
      <c r="L61" s="22">
        <v>2841.840909090909</v>
      </c>
      <c r="M61" s="22">
        <v>234.73863636363637</v>
      </c>
      <c r="N61" s="22">
        <v>453.78409090909093</v>
      </c>
    </row>
    <row r="62" spans="1:14" x14ac:dyDescent="0.3">
      <c r="A62" s="9" t="s">
        <v>322</v>
      </c>
      <c r="D62" s="3">
        <v>2180</v>
      </c>
      <c r="E62" s="3">
        <v>263</v>
      </c>
      <c r="F62" s="3">
        <v>387</v>
      </c>
      <c r="G62" s="3" t="s">
        <v>319</v>
      </c>
      <c r="H62" s="3" t="s">
        <v>315</v>
      </c>
      <c r="I62" s="7">
        <v>30059</v>
      </c>
      <c r="K62" s="21" t="s">
        <v>532</v>
      </c>
      <c r="L62" s="22">
        <v>2733.3033333333333</v>
      </c>
      <c r="M62" s="22">
        <v>249.50333333333333</v>
      </c>
      <c r="N62" s="22">
        <v>476.41666666666669</v>
      </c>
    </row>
    <row r="63" spans="1:14" x14ac:dyDescent="0.3">
      <c r="A63" s="9" t="s">
        <v>322</v>
      </c>
      <c r="B63" t="s">
        <v>318</v>
      </c>
      <c r="C63" t="s">
        <v>523</v>
      </c>
      <c r="D63" s="3">
        <v>904</v>
      </c>
      <c r="E63" s="3">
        <v>973</v>
      </c>
      <c r="F63" s="3">
        <v>63</v>
      </c>
      <c r="G63" s="3" t="s">
        <v>319</v>
      </c>
      <c r="H63" s="3" t="s">
        <v>338</v>
      </c>
      <c r="I63" s="7">
        <v>11580</v>
      </c>
    </row>
    <row r="64" spans="1:14" x14ac:dyDescent="0.3">
      <c r="A64" s="9" t="s">
        <v>318</v>
      </c>
      <c r="D64" s="3">
        <v>4886</v>
      </c>
      <c r="E64" s="3">
        <v>983</v>
      </c>
      <c r="F64" s="3">
        <v>409</v>
      </c>
      <c r="G64" s="3" t="s">
        <v>311</v>
      </c>
      <c r="H64" s="3" t="s">
        <v>338</v>
      </c>
      <c r="I64" s="7">
        <v>43239</v>
      </c>
      <c r="K64" s="63" t="s">
        <v>605</v>
      </c>
    </row>
    <row r="65" spans="1:18" x14ac:dyDescent="0.3">
      <c r="A65" s="9" t="s">
        <v>318</v>
      </c>
      <c r="D65" s="3">
        <v>53</v>
      </c>
      <c r="E65" s="3">
        <v>81</v>
      </c>
      <c r="F65" s="3">
        <v>379</v>
      </c>
      <c r="G65" s="3" t="s">
        <v>311</v>
      </c>
      <c r="H65" s="3" t="s">
        <v>326</v>
      </c>
      <c r="I65" s="7">
        <v>7</v>
      </c>
    </row>
    <row r="66" spans="1:18" x14ac:dyDescent="0.3">
      <c r="A66" s="9" t="s">
        <v>333</v>
      </c>
      <c r="D66" s="3">
        <v>4507</v>
      </c>
      <c r="E66" s="3">
        <v>217</v>
      </c>
      <c r="F66" s="3">
        <v>13</v>
      </c>
      <c r="G66" s="3" t="s">
        <v>311</v>
      </c>
      <c r="H66" s="3" t="s">
        <v>326</v>
      </c>
      <c r="I66" s="7">
        <v>89591</v>
      </c>
      <c r="K66" s="11" t="s">
        <v>533</v>
      </c>
      <c r="L66" t="s">
        <v>557</v>
      </c>
      <c r="M66" t="s">
        <v>556</v>
      </c>
      <c r="N66" t="s">
        <v>555</v>
      </c>
      <c r="O66" t="s">
        <v>554</v>
      </c>
    </row>
    <row r="67" spans="1:18" x14ac:dyDescent="0.3">
      <c r="A67" s="9" t="s">
        <v>333</v>
      </c>
      <c r="D67" s="3">
        <v>2878</v>
      </c>
      <c r="E67" s="3">
        <v>248</v>
      </c>
      <c r="F67" s="3">
        <v>416</v>
      </c>
      <c r="G67" s="3" t="s">
        <v>324</v>
      </c>
      <c r="H67" s="3" t="s">
        <v>329</v>
      </c>
      <c r="I67" s="7">
        <v>42667</v>
      </c>
      <c r="K67" s="26" t="s">
        <v>324</v>
      </c>
      <c r="L67" s="27">
        <v>83</v>
      </c>
      <c r="M67" s="27">
        <v>472.06024096385545</v>
      </c>
      <c r="N67" s="27">
        <v>280.72289156626505</v>
      </c>
      <c r="O67" s="27">
        <v>2924.8313253012047</v>
      </c>
    </row>
    <row r="68" spans="1:18" x14ac:dyDescent="0.3">
      <c r="A68" s="9" t="s">
        <v>322</v>
      </c>
      <c r="D68" s="3">
        <v>1881</v>
      </c>
      <c r="E68" s="3">
        <v>501</v>
      </c>
      <c r="F68" s="3">
        <v>99</v>
      </c>
      <c r="G68" s="3" t="s">
        <v>319</v>
      </c>
      <c r="H68" s="3" t="s">
        <v>321</v>
      </c>
      <c r="I68" s="7">
        <v>19987</v>
      </c>
      <c r="K68" s="26" t="s">
        <v>319</v>
      </c>
      <c r="L68" s="27">
        <v>79</v>
      </c>
      <c r="M68" s="27">
        <v>524.60759493670889</v>
      </c>
      <c r="N68" s="27">
        <v>225.96202531645571</v>
      </c>
      <c r="O68" s="27">
        <v>2585.8734177215188</v>
      </c>
    </row>
    <row r="69" spans="1:18" x14ac:dyDescent="0.3">
      <c r="A69" s="9" t="s">
        <v>322</v>
      </c>
      <c r="D69" s="3">
        <v>432</v>
      </c>
      <c r="E69" s="3">
        <v>171</v>
      </c>
      <c r="F69" s="3">
        <v>280</v>
      </c>
      <c r="G69" s="3" t="s">
        <v>311</v>
      </c>
      <c r="H69" s="3" t="s">
        <v>326</v>
      </c>
      <c r="I69" s="7">
        <v>2285</v>
      </c>
      <c r="K69" s="26" t="s">
        <v>311</v>
      </c>
      <c r="L69" s="27">
        <v>79</v>
      </c>
      <c r="M69" s="27">
        <v>426.9367088607595</v>
      </c>
      <c r="N69" s="27">
        <v>264.30379746835445</v>
      </c>
      <c r="O69" s="27">
        <v>2549.3291139240505</v>
      </c>
    </row>
    <row r="70" spans="1:18" x14ac:dyDescent="0.3">
      <c r="A70" s="9" t="s">
        <v>322</v>
      </c>
      <c r="D70" s="3">
        <v>4712</v>
      </c>
      <c r="E70" s="3">
        <v>568</v>
      </c>
      <c r="F70" s="3">
        <v>127</v>
      </c>
      <c r="G70" s="3" t="s">
        <v>324</v>
      </c>
      <c r="H70" s="3" t="s">
        <v>326</v>
      </c>
      <c r="I70" s="7">
        <v>84691</v>
      </c>
      <c r="K70" s="26" t="s">
        <v>316</v>
      </c>
      <c r="L70" s="27">
        <v>59</v>
      </c>
      <c r="M70" s="27">
        <v>484.27118644067798</v>
      </c>
      <c r="N70" s="27">
        <v>217.28813559322035</v>
      </c>
      <c r="O70" s="27">
        <v>2907.6101694915255</v>
      </c>
    </row>
    <row r="71" spans="1:18" x14ac:dyDescent="0.3">
      <c r="A71" s="9" t="s">
        <v>322</v>
      </c>
      <c r="D71" s="3">
        <v>2610</v>
      </c>
      <c r="E71" s="3">
        <v>126</v>
      </c>
      <c r="F71" s="3">
        <v>288</v>
      </c>
      <c r="G71" s="3" t="s">
        <v>319</v>
      </c>
      <c r="H71" s="3" t="s">
        <v>321</v>
      </c>
      <c r="I71" s="7">
        <v>15145</v>
      </c>
      <c r="K71" s="12" t="s">
        <v>532</v>
      </c>
      <c r="L71">
        <v>300</v>
      </c>
      <c r="M71">
        <v>476.41666666666669</v>
      </c>
      <c r="N71">
        <v>249.50333333333333</v>
      </c>
      <c r="O71">
        <v>2733.3033333333333</v>
      </c>
    </row>
    <row r="72" spans="1:18" x14ac:dyDescent="0.3">
      <c r="A72" s="9" t="s">
        <v>333</v>
      </c>
      <c r="D72" s="3">
        <v>1292</v>
      </c>
      <c r="E72" s="3">
        <v>626</v>
      </c>
      <c r="F72" s="3">
        <v>496</v>
      </c>
      <c r="G72" s="3" t="s">
        <v>311</v>
      </c>
      <c r="H72" s="3" t="s">
        <v>315</v>
      </c>
      <c r="I72" s="7">
        <v>24916</v>
      </c>
    </row>
    <row r="73" spans="1:18" x14ac:dyDescent="0.3">
      <c r="A73" s="9" t="s">
        <v>318</v>
      </c>
      <c r="D73" s="3">
        <v>199</v>
      </c>
      <c r="E73" s="3">
        <v>772</v>
      </c>
      <c r="F73" s="3">
        <v>400</v>
      </c>
      <c r="G73" s="3" t="s">
        <v>324</v>
      </c>
      <c r="H73" s="3" t="s">
        <v>338</v>
      </c>
      <c r="I73" s="7">
        <v>2988</v>
      </c>
      <c r="K73" s="65" t="s">
        <v>607</v>
      </c>
      <c r="L73" s="63"/>
    </row>
    <row r="74" spans="1:18" x14ac:dyDescent="0.3">
      <c r="A74" s="9" t="s">
        <v>318</v>
      </c>
      <c r="D74" s="3">
        <v>2551</v>
      </c>
      <c r="E74" s="3">
        <v>915</v>
      </c>
      <c r="F74" s="3">
        <v>205</v>
      </c>
      <c r="G74" s="3" t="s">
        <v>316</v>
      </c>
      <c r="H74" s="3" t="s">
        <v>326</v>
      </c>
      <c r="I74" s="7">
        <v>30360</v>
      </c>
    </row>
    <row r="75" spans="1:18" x14ac:dyDescent="0.3">
      <c r="A75" s="9" t="s">
        <v>322</v>
      </c>
      <c r="D75" s="3">
        <v>296</v>
      </c>
      <c r="E75" s="3">
        <v>60</v>
      </c>
      <c r="F75" s="3">
        <v>141</v>
      </c>
      <c r="G75" s="3" t="s">
        <v>316</v>
      </c>
      <c r="H75" s="3" t="s">
        <v>313</v>
      </c>
      <c r="I75" s="7">
        <v>5239</v>
      </c>
      <c r="K75" s="28" t="s">
        <v>559</v>
      </c>
      <c r="L75" s="28" t="s">
        <v>558</v>
      </c>
      <c r="M75" s="28"/>
      <c r="N75" s="28"/>
      <c r="O75" s="28"/>
      <c r="P75" s="28"/>
      <c r="Q75" s="28"/>
      <c r="R75" s="28"/>
    </row>
    <row r="76" spans="1:18" x14ac:dyDescent="0.3">
      <c r="A76" s="9" t="s">
        <v>333</v>
      </c>
      <c r="D76" s="3">
        <v>4126</v>
      </c>
      <c r="E76" s="3">
        <v>426</v>
      </c>
      <c r="F76" s="3">
        <v>486</v>
      </c>
      <c r="G76" s="3" t="s">
        <v>324</v>
      </c>
      <c r="H76" s="3" t="s">
        <v>321</v>
      </c>
      <c r="I76" s="7">
        <v>77798</v>
      </c>
      <c r="K76" s="28" t="s">
        <v>533</v>
      </c>
      <c r="L76" s="28" t="s">
        <v>326</v>
      </c>
      <c r="M76" s="28" t="s">
        <v>329</v>
      </c>
      <c r="N76" s="28" t="s">
        <v>313</v>
      </c>
      <c r="O76" s="28" t="s">
        <v>321</v>
      </c>
      <c r="P76" s="28" t="s">
        <v>315</v>
      </c>
      <c r="Q76" s="28" t="s">
        <v>338</v>
      </c>
      <c r="R76" s="28" t="s">
        <v>532</v>
      </c>
    </row>
    <row r="77" spans="1:18" x14ac:dyDescent="0.3">
      <c r="A77" s="9" t="s">
        <v>318</v>
      </c>
      <c r="D77" s="3">
        <v>1855</v>
      </c>
      <c r="E77" s="3">
        <v>200</v>
      </c>
      <c r="F77" s="3">
        <v>174</v>
      </c>
      <c r="G77" s="3" t="s">
        <v>316</v>
      </c>
      <c r="H77" s="3" t="s">
        <v>313</v>
      </c>
      <c r="I77" s="7">
        <v>16330</v>
      </c>
      <c r="K77" s="26" t="s">
        <v>324</v>
      </c>
      <c r="L77" s="27">
        <v>14</v>
      </c>
      <c r="M77" s="27">
        <v>25</v>
      </c>
      <c r="N77" s="27">
        <v>11</v>
      </c>
      <c r="O77" s="27">
        <v>11</v>
      </c>
      <c r="P77" s="27">
        <v>13</v>
      </c>
      <c r="Q77" s="27">
        <v>9</v>
      </c>
      <c r="R77" s="27">
        <v>83</v>
      </c>
    </row>
    <row r="78" spans="1:18" x14ac:dyDescent="0.3">
      <c r="A78" s="9" t="s">
        <v>318</v>
      </c>
      <c r="D78" s="3">
        <v>1674</v>
      </c>
      <c r="E78" s="3">
        <v>929</v>
      </c>
      <c r="F78" s="3">
        <v>37</v>
      </c>
      <c r="G78" s="3" t="s">
        <v>319</v>
      </c>
      <c r="H78" s="3" t="s">
        <v>313</v>
      </c>
      <c r="I78" s="7">
        <v>20998</v>
      </c>
      <c r="K78" s="26" t="s">
        <v>319</v>
      </c>
      <c r="L78" s="27">
        <v>17</v>
      </c>
      <c r="M78" s="27">
        <v>10</v>
      </c>
      <c r="N78" s="27">
        <v>13</v>
      </c>
      <c r="O78" s="27">
        <v>17</v>
      </c>
      <c r="P78" s="27">
        <v>10</v>
      </c>
      <c r="Q78" s="27">
        <v>12</v>
      </c>
      <c r="R78" s="27">
        <v>79</v>
      </c>
    </row>
    <row r="79" spans="1:18" x14ac:dyDescent="0.3">
      <c r="A79" s="9" t="s">
        <v>318</v>
      </c>
      <c r="D79" s="3">
        <v>1121</v>
      </c>
      <c r="E79" s="3">
        <v>135</v>
      </c>
      <c r="F79" s="3">
        <v>18</v>
      </c>
      <c r="G79" s="3" t="s">
        <v>311</v>
      </c>
      <c r="H79" s="3" t="s">
        <v>321</v>
      </c>
      <c r="I79" s="7">
        <v>14957</v>
      </c>
      <c r="K79" s="26" t="s">
        <v>311</v>
      </c>
      <c r="L79" s="27">
        <v>17</v>
      </c>
      <c r="M79" s="27">
        <v>19</v>
      </c>
      <c r="N79" s="27">
        <v>11</v>
      </c>
      <c r="O79" s="27">
        <v>9</v>
      </c>
      <c r="P79" s="27">
        <v>11</v>
      </c>
      <c r="Q79" s="27">
        <v>12</v>
      </c>
      <c r="R79" s="27">
        <v>79</v>
      </c>
    </row>
    <row r="80" spans="1:18" x14ac:dyDescent="0.3">
      <c r="A80" s="9" t="s">
        <v>318</v>
      </c>
      <c r="D80" s="3">
        <v>1249</v>
      </c>
      <c r="E80" s="3">
        <v>116</v>
      </c>
      <c r="F80" s="3">
        <v>420</v>
      </c>
      <c r="G80" s="3" t="s">
        <v>324</v>
      </c>
      <c r="H80" s="3" t="s">
        <v>321</v>
      </c>
      <c r="I80" s="7">
        <v>8538</v>
      </c>
      <c r="K80" s="26" t="s">
        <v>316</v>
      </c>
      <c r="L80" s="27">
        <v>11</v>
      </c>
      <c r="M80" s="27">
        <v>9</v>
      </c>
      <c r="N80" s="27">
        <v>12</v>
      </c>
      <c r="O80" s="27">
        <v>9</v>
      </c>
      <c r="P80" s="27">
        <v>8</v>
      </c>
      <c r="Q80" s="27">
        <v>10</v>
      </c>
      <c r="R80" s="27">
        <v>59</v>
      </c>
    </row>
    <row r="81" spans="1:18" x14ac:dyDescent="0.3">
      <c r="A81" s="9" t="s">
        <v>333</v>
      </c>
      <c r="D81" s="3">
        <v>954</v>
      </c>
      <c r="E81" s="3">
        <v>324</v>
      </c>
      <c r="F81" s="3">
        <v>288</v>
      </c>
      <c r="G81" s="3" t="s">
        <v>311</v>
      </c>
      <c r="H81" s="3" t="s">
        <v>329</v>
      </c>
      <c r="I81" s="7">
        <v>18859</v>
      </c>
      <c r="K81" s="29" t="s">
        <v>532</v>
      </c>
      <c r="L81" s="28">
        <v>59</v>
      </c>
      <c r="M81" s="28">
        <v>63</v>
      </c>
      <c r="N81" s="28">
        <v>47</v>
      </c>
      <c r="O81" s="28">
        <v>46</v>
      </c>
      <c r="P81" s="28">
        <v>42</v>
      </c>
      <c r="Q81" s="28">
        <v>43</v>
      </c>
      <c r="R81" s="28">
        <v>300</v>
      </c>
    </row>
    <row r="82" spans="1:18" x14ac:dyDescent="0.3">
      <c r="A82" s="9" t="s">
        <v>322</v>
      </c>
      <c r="D82" s="3">
        <v>3068</v>
      </c>
      <c r="E82" s="3">
        <v>137</v>
      </c>
      <c r="F82" s="3">
        <v>329</v>
      </c>
      <c r="G82" s="3" t="s">
        <v>319</v>
      </c>
      <c r="H82" s="3" t="s">
        <v>326</v>
      </c>
      <c r="I82" s="7">
        <v>39404</v>
      </c>
    </row>
    <row r="83" spans="1:18" x14ac:dyDescent="0.3">
      <c r="A83" s="9" t="s">
        <v>333</v>
      </c>
      <c r="D83" s="3">
        <v>2103</v>
      </c>
      <c r="E83" s="3">
        <v>892</v>
      </c>
      <c r="F83" s="3">
        <v>103</v>
      </c>
      <c r="G83" s="3" t="s">
        <v>319</v>
      </c>
      <c r="H83" s="3" t="s">
        <v>321</v>
      </c>
      <c r="I83" s="7">
        <v>39466</v>
      </c>
    </row>
    <row r="84" spans="1:18" x14ac:dyDescent="0.3">
      <c r="A84" s="9" t="s">
        <v>318</v>
      </c>
      <c r="D84" s="3">
        <v>1816</v>
      </c>
      <c r="E84" s="3">
        <v>29</v>
      </c>
      <c r="F84" s="3">
        <v>41</v>
      </c>
      <c r="G84" s="3" t="s">
        <v>319</v>
      </c>
      <c r="H84" s="3" t="s">
        <v>321</v>
      </c>
      <c r="I84" s="7">
        <v>19262</v>
      </c>
      <c r="L84" s="63" t="s">
        <v>608</v>
      </c>
    </row>
    <row r="85" spans="1:18" x14ac:dyDescent="0.3">
      <c r="A85" s="9" t="s">
        <v>333</v>
      </c>
      <c r="B85" t="s">
        <v>318</v>
      </c>
      <c r="C85" t="s">
        <v>523</v>
      </c>
      <c r="D85" s="3">
        <v>725</v>
      </c>
      <c r="E85" s="3">
        <v>88</v>
      </c>
      <c r="F85" s="3">
        <v>428</v>
      </c>
      <c r="G85" s="3" t="s">
        <v>319</v>
      </c>
      <c r="H85" s="3" t="s">
        <v>329</v>
      </c>
      <c r="I85" s="7">
        <v>13637</v>
      </c>
    </row>
    <row r="86" spans="1:18" x14ac:dyDescent="0.3">
      <c r="A86" s="9" t="s">
        <v>322</v>
      </c>
      <c r="D86" s="3">
        <v>1094</v>
      </c>
      <c r="E86" s="3">
        <v>472</v>
      </c>
      <c r="F86" s="3">
        <v>21</v>
      </c>
      <c r="G86" s="3" t="s">
        <v>316</v>
      </c>
      <c r="H86" s="3" t="s">
        <v>338</v>
      </c>
      <c r="I86" s="7">
        <v>9609</v>
      </c>
    </row>
    <row r="87" spans="1:18" x14ac:dyDescent="0.3">
      <c r="A87" s="9" t="s">
        <v>333</v>
      </c>
      <c r="D87" s="3">
        <v>1841</v>
      </c>
      <c r="E87" s="3">
        <v>851</v>
      </c>
      <c r="F87" s="3">
        <v>342</v>
      </c>
      <c r="G87" s="3" t="s">
        <v>324</v>
      </c>
      <c r="H87" s="3" t="s">
        <v>329</v>
      </c>
      <c r="I87" s="7">
        <v>34154</v>
      </c>
    </row>
    <row r="88" spans="1:18" x14ac:dyDescent="0.3">
      <c r="A88" s="9" t="s">
        <v>333</v>
      </c>
      <c r="D88" s="3">
        <v>4177</v>
      </c>
      <c r="E88" s="3">
        <v>569</v>
      </c>
      <c r="F88" s="3">
        <v>55</v>
      </c>
      <c r="G88" s="3" t="s">
        <v>319</v>
      </c>
      <c r="H88" s="3" t="s">
        <v>329</v>
      </c>
      <c r="I88" s="7">
        <v>24847</v>
      </c>
    </row>
    <row r="89" spans="1:18" x14ac:dyDescent="0.3">
      <c r="A89" s="9" t="s">
        <v>322</v>
      </c>
      <c r="B89" t="s">
        <v>524</v>
      </c>
      <c r="D89" s="3">
        <v>3428</v>
      </c>
      <c r="E89" s="3">
        <v>305</v>
      </c>
      <c r="F89" s="3">
        <v>85</v>
      </c>
      <c r="G89" s="3" t="s">
        <v>316</v>
      </c>
      <c r="H89" s="3" t="s">
        <v>315</v>
      </c>
      <c r="I89" s="7">
        <v>58052</v>
      </c>
    </row>
    <row r="90" spans="1:18" x14ac:dyDescent="0.3">
      <c r="A90" s="9" t="s">
        <v>333</v>
      </c>
      <c r="D90" s="3">
        <v>1436</v>
      </c>
      <c r="E90" s="3">
        <v>765</v>
      </c>
      <c r="F90" s="3">
        <v>496</v>
      </c>
      <c r="G90" s="3" t="s">
        <v>311</v>
      </c>
      <c r="H90" s="3" t="s">
        <v>338</v>
      </c>
      <c r="I90" s="7">
        <v>12701</v>
      </c>
    </row>
    <row r="91" spans="1:18" x14ac:dyDescent="0.3">
      <c r="A91" s="9" t="s">
        <v>318</v>
      </c>
      <c r="D91" s="3">
        <v>302</v>
      </c>
      <c r="E91" s="3">
        <v>47</v>
      </c>
      <c r="F91" s="3">
        <v>430</v>
      </c>
      <c r="G91" s="3" t="s">
        <v>324</v>
      </c>
      <c r="H91" s="3" t="s">
        <v>321</v>
      </c>
      <c r="I91" s="7">
        <v>4890</v>
      </c>
    </row>
    <row r="92" spans="1:18" x14ac:dyDescent="0.3">
      <c r="A92" s="9" t="s">
        <v>322</v>
      </c>
      <c r="D92" s="3">
        <v>2214</v>
      </c>
      <c r="E92" s="3">
        <v>249</v>
      </c>
      <c r="F92" s="3">
        <v>152</v>
      </c>
      <c r="G92" s="3" t="s">
        <v>311</v>
      </c>
      <c r="H92" s="3" t="s">
        <v>329</v>
      </c>
      <c r="I92" s="7">
        <v>14800</v>
      </c>
    </row>
    <row r="93" spans="1:18" x14ac:dyDescent="0.3">
      <c r="A93" s="9" t="s">
        <v>318</v>
      </c>
      <c r="D93" s="3">
        <v>3861</v>
      </c>
      <c r="E93" s="3">
        <v>960</v>
      </c>
      <c r="F93" s="3">
        <v>101</v>
      </c>
      <c r="G93" s="3" t="s">
        <v>319</v>
      </c>
      <c r="H93" s="3" t="s">
        <v>329</v>
      </c>
      <c r="I93" s="7">
        <v>68817</v>
      </c>
    </row>
    <row r="94" spans="1:18" x14ac:dyDescent="0.3">
      <c r="A94" s="9" t="s">
        <v>322</v>
      </c>
      <c r="D94" s="3">
        <v>1263</v>
      </c>
      <c r="E94" s="3">
        <v>397</v>
      </c>
      <c r="F94" s="3">
        <v>357</v>
      </c>
      <c r="G94" s="3" t="s">
        <v>324</v>
      </c>
      <c r="H94" s="3" t="s">
        <v>329</v>
      </c>
      <c r="I94" s="7">
        <v>24615</v>
      </c>
    </row>
    <row r="95" spans="1:18" x14ac:dyDescent="0.3">
      <c r="A95" s="9" t="s">
        <v>333</v>
      </c>
      <c r="D95" s="3">
        <v>3801</v>
      </c>
      <c r="E95" s="3">
        <v>967</v>
      </c>
      <c r="F95" s="3">
        <v>401</v>
      </c>
      <c r="G95" s="3" t="s">
        <v>311</v>
      </c>
      <c r="H95" s="3" t="s">
        <v>321</v>
      </c>
      <c r="I95" s="7">
        <v>37625</v>
      </c>
    </row>
    <row r="96" spans="1:18" x14ac:dyDescent="0.3">
      <c r="A96" s="9" t="s">
        <v>322</v>
      </c>
      <c r="D96" s="3">
        <v>1431</v>
      </c>
      <c r="E96" s="3">
        <v>951</v>
      </c>
      <c r="F96" s="3">
        <v>26</v>
      </c>
      <c r="G96" s="3" t="s">
        <v>319</v>
      </c>
      <c r="H96" s="3" t="s">
        <v>338</v>
      </c>
      <c r="I96" s="7">
        <v>8396</v>
      </c>
    </row>
    <row r="97" spans="1:9" x14ac:dyDescent="0.3">
      <c r="A97" s="9" t="s">
        <v>333</v>
      </c>
      <c r="D97" s="3">
        <v>2647</v>
      </c>
      <c r="E97" s="3">
        <v>304</v>
      </c>
      <c r="F97" s="3">
        <v>170</v>
      </c>
      <c r="G97" s="3" t="s">
        <v>319</v>
      </c>
      <c r="H97" s="3" t="s">
        <v>329</v>
      </c>
      <c r="I97" s="7">
        <v>17841</v>
      </c>
    </row>
    <row r="98" spans="1:9" x14ac:dyDescent="0.3">
      <c r="A98" s="9" t="s">
        <v>333</v>
      </c>
      <c r="D98" s="3">
        <v>3182</v>
      </c>
      <c r="E98" s="3">
        <v>559</v>
      </c>
      <c r="F98" s="3">
        <v>160</v>
      </c>
      <c r="G98" s="3" t="s">
        <v>319</v>
      </c>
      <c r="H98" s="3" t="s">
        <v>315</v>
      </c>
      <c r="I98" s="7">
        <v>56890</v>
      </c>
    </row>
    <row r="99" spans="1:9" x14ac:dyDescent="0.3">
      <c r="A99" s="9" t="s">
        <v>333</v>
      </c>
      <c r="D99" s="3">
        <v>1238</v>
      </c>
      <c r="E99" s="3">
        <v>366</v>
      </c>
      <c r="F99" s="3">
        <v>444</v>
      </c>
      <c r="G99" s="3" t="s">
        <v>311</v>
      </c>
      <c r="H99" s="3" t="s">
        <v>329</v>
      </c>
      <c r="I99" s="7">
        <v>19334</v>
      </c>
    </row>
    <row r="100" spans="1:9" x14ac:dyDescent="0.3">
      <c r="A100" s="9" t="s">
        <v>318</v>
      </c>
      <c r="B100" t="s">
        <v>523</v>
      </c>
      <c r="D100" s="3">
        <v>4739</v>
      </c>
      <c r="E100" s="3">
        <v>527</v>
      </c>
      <c r="F100" s="3">
        <v>135</v>
      </c>
      <c r="G100" s="3" t="s">
        <v>319</v>
      </c>
      <c r="H100" s="3" t="s">
        <v>329</v>
      </c>
      <c r="I100" s="7">
        <v>61333</v>
      </c>
    </row>
    <row r="101" spans="1:9" x14ac:dyDescent="0.3">
      <c r="A101" s="9" t="s">
        <v>333</v>
      </c>
      <c r="D101" s="3">
        <v>1575</v>
      </c>
      <c r="E101" s="3">
        <v>771</v>
      </c>
      <c r="F101" s="3">
        <v>486</v>
      </c>
      <c r="G101" s="3" t="s">
        <v>311</v>
      </c>
      <c r="H101" s="3" t="s">
        <v>321</v>
      </c>
      <c r="I101" s="7">
        <v>24826</v>
      </c>
    </row>
    <row r="102" spans="1:9" x14ac:dyDescent="0.3">
      <c r="A102" s="9" t="s">
        <v>333</v>
      </c>
      <c r="D102" s="3">
        <v>4171</v>
      </c>
      <c r="E102" s="3">
        <v>548</v>
      </c>
      <c r="F102" s="3">
        <v>86</v>
      </c>
      <c r="G102" s="3" t="s">
        <v>316</v>
      </c>
      <c r="H102" s="3" t="s">
        <v>326</v>
      </c>
      <c r="I102" s="7">
        <v>66634</v>
      </c>
    </row>
    <row r="103" spans="1:9" x14ac:dyDescent="0.3">
      <c r="A103" s="9" t="s">
        <v>322</v>
      </c>
      <c r="D103" s="3">
        <v>1766</v>
      </c>
      <c r="E103" s="3">
        <v>92</v>
      </c>
      <c r="F103" s="3">
        <v>424</v>
      </c>
      <c r="G103" s="3" t="s">
        <v>316</v>
      </c>
      <c r="H103" s="3" t="s">
        <v>338</v>
      </c>
      <c r="I103" s="7">
        <v>24333</v>
      </c>
    </row>
    <row r="104" spans="1:9" x14ac:dyDescent="0.3">
      <c r="A104" s="9" t="s">
        <v>333</v>
      </c>
      <c r="D104" s="3">
        <v>4450</v>
      </c>
      <c r="E104" s="3">
        <v>983</v>
      </c>
      <c r="F104" s="3">
        <v>143</v>
      </c>
      <c r="G104" s="3" t="s">
        <v>316</v>
      </c>
      <c r="H104" s="3" t="s">
        <v>338</v>
      </c>
      <c r="I104" s="7">
        <v>75008</v>
      </c>
    </row>
    <row r="105" spans="1:9" x14ac:dyDescent="0.3">
      <c r="A105" s="9" t="s">
        <v>322</v>
      </c>
      <c r="D105" s="3">
        <v>1000</v>
      </c>
      <c r="E105" s="3">
        <v>978</v>
      </c>
      <c r="F105" s="3">
        <v>162</v>
      </c>
      <c r="G105" s="3" t="s">
        <v>311</v>
      </c>
      <c r="H105" s="3" t="s">
        <v>313</v>
      </c>
      <c r="I105" s="7">
        <v>5221</v>
      </c>
    </row>
    <row r="106" spans="1:9" x14ac:dyDescent="0.3">
      <c r="A106" s="9" t="s">
        <v>322</v>
      </c>
      <c r="D106" s="3">
        <v>3689</v>
      </c>
      <c r="E106" s="3">
        <v>48</v>
      </c>
      <c r="F106" s="3">
        <v>306</v>
      </c>
      <c r="G106" s="3" t="s">
        <v>324</v>
      </c>
      <c r="H106" s="3" t="s">
        <v>329</v>
      </c>
      <c r="I106" s="7">
        <v>39588</v>
      </c>
    </row>
    <row r="107" spans="1:9" x14ac:dyDescent="0.3">
      <c r="A107" s="9" t="s">
        <v>318</v>
      </c>
      <c r="D107" s="3">
        <v>3655</v>
      </c>
      <c r="E107" s="3">
        <v>568</v>
      </c>
      <c r="F107" s="3">
        <v>286</v>
      </c>
      <c r="G107" s="3" t="s">
        <v>316</v>
      </c>
      <c r="H107" s="3" t="s">
        <v>321</v>
      </c>
      <c r="I107" s="7">
        <v>32015</v>
      </c>
    </row>
    <row r="108" spans="1:9" x14ac:dyDescent="0.3">
      <c r="A108" s="9" t="s">
        <v>333</v>
      </c>
      <c r="D108" s="3">
        <v>498</v>
      </c>
      <c r="E108" s="3">
        <v>38</v>
      </c>
      <c r="F108" s="3">
        <v>42</v>
      </c>
      <c r="G108" s="3" t="s">
        <v>319</v>
      </c>
      <c r="H108" s="3" t="s">
        <v>326</v>
      </c>
      <c r="I108" s="7">
        <v>3647</v>
      </c>
    </row>
    <row r="109" spans="1:9" x14ac:dyDescent="0.3">
      <c r="A109" s="9" t="s">
        <v>318</v>
      </c>
      <c r="D109" s="3">
        <v>4619</v>
      </c>
      <c r="E109" s="3">
        <v>821</v>
      </c>
      <c r="F109" s="3">
        <v>499</v>
      </c>
      <c r="G109" s="3" t="s">
        <v>319</v>
      </c>
      <c r="H109" s="3" t="s">
        <v>329</v>
      </c>
      <c r="I109" s="7">
        <v>69141</v>
      </c>
    </row>
    <row r="110" spans="1:9" x14ac:dyDescent="0.3">
      <c r="A110" s="9" t="s">
        <v>318</v>
      </c>
      <c r="D110" s="3">
        <v>4832</v>
      </c>
      <c r="E110" s="3">
        <v>893</v>
      </c>
      <c r="F110" s="3">
        <v>10</v>
      </c>
      <c r="G110" s="3" t="s">
        <v>316</v>
      </c>
      <c r="H110" s="3" t="s">
        <v>329</v>
      </c>
      <c r="I110" s="7">
        <v>91296</v>
      </c>
    </row>
    <row r="111" spans="1:9" x14ac:dyDescent="0.3">
      <c r="A111" s="9" t="s">
        <v>318</v>
      </c>
      <c r="D111" s="3">
        <v>4050</v>
      </c>
      <c r="E111" s="3">
        <v>871</v>
      </c>
      <c r="F111" s="3">
        <v>347</v>
      </c>
      <c r="G111" s="3" t="s">
        <v>311</v>
      </c>
      <c r="H111" s="3" t="s">
        <v>338</v>
      </c>
      <c r="I111" s="7">
        <v>51755</v>
      </c>
    </row>
    <row r="112" spans="1:9" x14ac:dyDescent="0.3">
      <c r="A112" s="9" t="s">
        <v>333</v>
      </c>
      <c r="D112" s="3">
        <v>3649</v>
      </c>
      <c r="E112" s="3">
        <v>215</v>
      </c>
      <c r="F112" s="3">
        <v>413</v>
      </c>
      <c r="G112" s="3" t="s">
        <v>311</v>
      </c>
      <c r="H112" s="3" t="s">
        <v>321</v>
      </c>
      <c r="I112" s="7">
        <v>24963</v>
      </c>
    </row>
    <row r="113" spans="1:9" x14ac:dyDescent="0.3">
      <c r="A113" s="9" t="s">
        <v>322</v>
      </c>
      <c r="D113" s="3">
        <v>3523</v>
      </c>
      <c r="E113" s="3">
        <v>753</v>
      </c>
      <c r="F113" s="3">
        <v>482</v>
      </c>
      <c r="G113" s="3" t="s">
        <v>319</v>
      </c>
      <c r="H113" s="3" t="s">
        <v>313</v>
      </c>
      <c r="I113" s="7">
        <v>38579</v>
      </c>
    </row>
    <row r="114" spans="1:9" x14ac:dyDescent="0.3">
      <c r="A114" s="9" t="s">
        <v>318</v>
      </c>
      <c r="D114" s="3">
        <v>2719</v>
      </c>
      <c r="E114" s="3">
        <v>17</v>
      </c>
      <c r="F114" s="3">
        <v>285</v>
      </c>
      <c r="G114" s="3" t="s">
        <v>316</v>
      </c>
      <c r="H114" s="3" t="s">
        <v>329</v>
      </c>
      <c r="I114" s="7">
        <v>40281</v>
      </c>
    </row>
    <row r="115" spans="1:9" x14ac:dyDescent="0.3">
      <c r="A115" s="9" t="s">
        <v>333</v>
      </c>
      <c r="D115" s="3">
        <v>1957</v>
      </c>
      <c r="E115" s="3">
        <v>877</v>
      </c>
      <c r="F115" s="3">
        <v>238</v>
      </c>
      <c r="G115" s="3" t="s">
        <v>311</v>
      </c>
      <c r="H115" s="3" t="s">
        <v>321</v>
      </c>
      <c r="I115" s="7">
        <v>16865</v>
      </c>
    </row>
    <row r="116" spans="1:9" x14ac:dyDescent="0.3">
      <c r="A116" s="9" t="s">
        <v>322</v>
      </c>
      <c r="D116" s="3">
        <v>4419</v>
      </c>
      <c r="E116" s="3">
        <v>236</v>
      </c>
      <c r="F116" s="3">
        <v>369</v>
      </c>
      <c r="G116" s="3" t="s">
        <v>311</v>
      </c>
      <c r="H116" s="3" t="s">
        <v>326</v>
      </c>
      <c r="I116" s="7">
        <v>43582</v>
      </c>
    </row>
    <row r="117" spans="1:9" x14ac:dyDescent="0.3">
      <c r="A117" s="9" t="s">
        <v>333</v>
      </c>
      <c r="D117" s="3">
        <v>4000</v>
      </c>
      <c r="E117" s="3">
        <v>689</v>
      </c>
      <c r="F117" s="3">
        <v>488</v>
      </c>
      <c r="G117" s="3" t="s">
        <v>311</v>
      </c>
      <c r="H117" s="3" t="s">
        <v>321</v>
      </c>
      <c r="I117" s="7">
        <v>39569</v>
      </c>
    </row>
    <row r="118" spans="1:9" x14ac:dyDescent="0.3">
      <c r="A118" s="9" t="s">
        <v>318</v>
      </c>
      <c r="B118" t="s">
        <v>523</v>
      </c>
      <c r="D118" s="3">
        <v>2493</v>
      </c>
      <c r="E118" s="3">
        <v>97</v>
      </c>
      <c r="F118" s="3">
        <v>44</v>
      </c>
      <c r="G118" s="3" t="s">
        <v>311</v>
      </c>
      <c r="H118" s="3" t="s">
        <v>329</v>
      </c>
      <c r="I118" s="7">
        <v>41991</v>
      </c>
    </row>
    <row r="119" spans="1:9" x14ac:dyDescent="0.3">
      <c r="A119" s="9" t="s">
        <v>318</v>
      </c>
      <c r="D119" s="3">
        <v>3704</v>
      </c>
      <c r="E119" s="3">
        <v>186</v>
      </c>
      <c r="F119" s="3">
        <v>458</v>
      </c>
      <c r="G119" s="3" t="s">
        <v>316</v>
      </c>
      <c r="H119" s="3" t="s">
        <v>313</v>
      </c>
      <c r="I119" s="7">
        <v>25081</v>
      </c>
    </row>
    <row r="120" spans="1:9" x14ac:dyDescent="0.3">
      <c r="A120" s="9" t="s">
        <v>322</v>
      </c>
      <c r="D120" s="3">
        <v>1606</v>
      </c>
      <c r="E120" s="3">
        <v>451</v>
      </c>
      <c r="F120" s="3">
        <v>405</v>
      </c>
      <c r="G120" s="3" t="s">
        <v>311</v>
      </c>
      <c r="H120" s="3" t="s">
        <v>329</v>
      </c>
      <c r="I120" s="7">
        <v>20190</v>
      </c>
    </row>
    <row r="121" spans="1:9" x14ac:dyDescent="0.3">
      <c r="A121" s="9" t="s">
        <v>333</v>
      </c>
      <c r="D121" s="3">
        <v>4551</v>
      </c>
      <c r="E121" s="3">
        <v>714</v>
      </c>
      <c r="F121" s="3">
        <v>207</v>
      </c>
      <c r="G121" s="3" t="s">
        <v>324</v>
      </c>
      <c r="H121" s="3" t="s">
        <v>329</v>
      </c>
      <c r="I121" s="7">
        <v>67754</v>
      </c>
    </row>
    <row r="122" spans="1:9" x14ac:dyDescent="0.3">
      <c r="A122" s="9" t="s">
        <v>333</v>
      </c>
      <c r="D122" s="3">
        <v>1970</v>
      </c>
      <c r="E122" s="3">
        <v>675</v>
      </c>
      <c r="F122" s="3">
        <v>478</v>
      </c>
      <c r="G122" s="3" t="s">
        <v>319</v>
      </c>
      <c r="H122" s="3" t="s">
        <v>313</v>
      </c>
      <c r="I122" s="7">
        <v>8924</v>
      </c>
    </row>
    <row r="123" spans="1:9" x14ac:dyDescent="0.3">
      <c r="A123" s="9" t="s">
        <v>322</v>
      </c>
      <c r="D123" s="3">
        <v>780</v>
      </c>
      <c r="E123" s="3">
        <v>928</v>
      </c>
      <c r="F123" s="3">
        <v>301</v>
      </c>
      <c r="G123" s="3" t="s">
        <v>324</v>
      </c>
      <c r="H123" s="3" t="s">
        <v>321</v>
      </c>
      <c r="I123" s="7">
        <v>8081</v>
      </c>
    </row>
    <row r="124" spans="1:9" x14ac:dyDescent="0.3">
      <c r="A124" s="9" t="s">
        <v>333</v>
      </c>
      <c r="D124" s="3">
        <v>498</v>
      </c>
      <c r="E124" s="3">
        <v>701</v>
      </c>
      <c r="F124" s="3">
        <v>412</v>
      </c>
      <c r="G124" s="3" t="s">
        <v>319</v>
      </c>
      <c r="H124" s="3" t="s">
        <v>321</v>
      </c>
      <c r="I124" s="7">
        <v>4185</v>
      </c>
    </row>
    <row r="125" spans="1:9" x14ac:dyDescent="0.3">
      <c r="A125" s="9" t="s">
        <v>322</v>
      </c>
      <c r="D125" s="3">
        <v>3432</v>
      </c>
      <c r="E125" s="3">
        <v>869</v>
      </c>
      <c r="F125" s="3">
        <v>123</v>
      </c>
      <c r="G125" s="3" t="s">
        <v>319</v>
      </c>
      <c r="H125" s="3" t="s">
        <v>315</v>
      </c>
      <c r="I125" s="7">
        <v>53916</v>
      </c>
    </row>
    <row r="126" spans="1:9" x14ac:dyDescent="0.3">
      <c r="A126" s="9" t="s">
        <v>322</v>
      </c>
      <c r="D126" s="3">
        <v>4363</v>
      </c>
      <c r="E126" s="3">
        <v>649</v>
      </c>
      <c r="F126" s="3">
        <v>140</v>
      </c>
      <c r="G126" s="3" t="s">
        <v>319</v>
      </c>
      <c r="H126" s="3" t="s">
        <v>321</v>
      </c>
      <c r="I126" s="7">
        <v>21481</v>
      </c>
    </row>
    <row r="127" spans="1:9" x14ac:dyDescent="0.3">
      <c r="A127" s="9" t="s">
        <v>322</v>
      </c>
      <c r="D127" s="3">
        <v>736</v>
      </c>
      <c r="E127" s="3">
        <v>771</v>
      </c>
      <c r="F127" s="3">
        <v>225</v>
      </c>
      <c r="G127" s="3" t="s">
        <v>316</v>
      </c>
      <c r="H127" s="3" t="s">
        <v>326</v>
      </c>
      <c r="I127" s="7">
        <v>4706</v>
      </c>
    </row>
    <row r="128" spans="1:9" x14ac:dyDescent="0.3">
      <c r="A128" s="9" t="s">
        <v>318</v>
      </c>
      <c r="D128" s="3">
        <v>3811</v>
      </c>
      <c r="E128" s="3">
        <v>866</v>
      </c>
      <c r="F128" s="3">
        <v>216</v>
      </c>
      <c r="G128" s="3" t="s">
        <v>311</v>
      </c>
      <c r="H128" s="3" t="s">
        <v>326</v>
      </c>
      <c r="I128" s="7">
        <v>34088</v>
      </c>
    </row>
    <row r="129" spans="1:9" x14ac:dyDescent="0.3">
      <c r="A129" s="9" t="s">
        <v>333</v>
      </c>
      <c r="D129" s="3">
        <v>4158</v>
      </c>
      <c r="E129" s="3">
        <v>167</v>
      </c>
      <c r="F129" s="3">
        <v>241</v>
      </c>
      <c r="G129" s="3" t="s">
        <v>319</v>
      </c>
      <c r="H129" s="3" t="s">
        <v>326</v>
      </c>
      <c r="I129" s="7">
        <v>45183</v>
      </c>
    </row>
    <row r="130" spans="1:9" x14ac:dyDescent="0.3">
      <c r="A130" s="9" t="s">
        <v>333</v>
      </c>
      <c r="D130" s="3">
        <v>3452</v>
      </c>
      <c r="E130" s="3">
        <v>652</v>
      </c>
      <c r="F130" s="3">
        <v>442</v>
      </c>
      <c r="G130" s="3" t="s">
        <v>324</v>
      </c>
      <c r="H130" s="3" t="s">
        <v>313</v>
      </c>
      <c r="I130" s="7">
        <v>65049</v>
      </c>
    </row>
    <row r="131" spans="1:9" x14ac:dyDescent="0.3">
      <c r="A131" s="9" t="s">
        <v>333</v>
      </c>
      <c r="D131" s="3">
        <v>3092</v>
      </c>
      <c r="E131" s="3">
        <v>106</v>
      </c>
      <c r="F131" s="3">
        <v>291</v>
      </c>
      <c r="G131" s="3" t="s">
        <v>311</v>
      </c>
      <c r="H131" s="3" t="s">
        <v>329</v>
      </c>
      <c r="I131" s="7">
        <v>27217</v>
      </c>
    </row>
    <row r="132" spans="1:9" x14ac:dyDescent="0.3">
      <c r="A132" s="9" t="s">
        <v>318</v>
      </c>
      <c r="D132" s="3">
        <v>2147</v>
      </c>
      <c r="E132" s="3">
        <v>430</v>
      </c>
      <c r="F132" s="3">
        <v>393</v>
      </c>
      <c r="G132" s="3" t="s">
        <v>311</v>
      </c>
      <c r="H132" s="3" t="s">
        <v>315</v>
      </c>
      <c r="I132" s="7">
        <v>16483</v>
      </c>
    </row>
    <row r="133" spans="1:9" x14ac:dyDescent="0.3">
      <c r="A133" s="9" t="s">
        <v>322</v>
      </c>
      <c r="D133" s="3">
        <v>2936</v>
      </c>
      <c r="E133" s="3">
        <v>439</v>
      </c>
      <c r="F133" s="3">
        <v>44</v>
      </c>
      <c r="G133" s="3" t="s">
        <v>316</v>
      </c>
      <c r="H133" s="3" t="s">
        <v>313</v>
      </c>
      <c r="I133" s="7">
        <v>37571</v>
      </c>
    </row>
    <row r="134" spans="1:9" x14ac:dyDescent="0.3">
      <c r="A134" s="9" t="s">
        <v>333</v>
      </c>
      <c r="D134" s="3">
        <v>4840</v>
      </c>
      <c r="E134" s="3">
        <v>658</v>
      </c>
      <c r="F134" s="3">
        <v>211</v>
      </c>
      <c r="G134" s="3" t="s">
        <v>319</v>
      </c>
      <c r="H134" s="3" t="s">
        <v>313</v>
      </c>
      <c r="I134" s="7">
        <v>43225</v>
      </c>
    </row>
    <row r="135" spans="1:9" x14ac:dyDescent="0.3">
      <c r="A135" s="9" t="s">
        <v>333</v>
      </c>
      <c r="D135" s="3">
        <v>1947</v>
      </c>
      <c r="E135" s="3">
        <v>842</v>
      </c>
      <c r="F135" s="3">
        <v>101</v>
      </c>
      <c r="G135" s="3" t="s">
        <v>319</v>
      </c>
      <c r="H135" s="3" t="s">
        <v>321</v>
      </c>
      <c r="I135" s="7">
        <v>20967</v>
      </c>
    </row>
    <row r="136" spans="1:9" x14ac:dyDescent="0.3">
      <c r="A136" s="9" t="s">
        <v>318</v>
      </c>
      <c r="D136" s="3">
        <v>2072</v>
      </c>
      <c r="E136" s="3">
        <v>532</v>
      </c>
      <c r="F136" s="3">
        <v>71</v>
      </c>
      <c r="G136" s="3" t="s">
        <v>324</v>
      </c>
      <c r="H136" s="3" t="s">
        <v>329</v>
      </c>
      <c r="I136" s="7">
        <v>36467</v>
      </c>
    </row>
    <row r="137" spans="1:9" x14ac:dyDescent="0.3">
      <c r="A137" s="9" t="s">
        <v>318</v>
      </c>
      <c r="D137" s="3">
        <v>3731</v>
      </c>
      <c r="E137" s="3">
        <v>115</v>
      </c>
      <c r="F137" s="3">
        <v>135</v>
      </c>
      <c r="G137" s="3" t="s">
        <v>311</v>
      </c>
      <c r="H137" s="3" t="s">
        <v>313</v>
      </c>
      <c r="I137" s="7">
        <v>55436</v>
      </c>
    </row>
    <row r="138" spans="1:9" x14ac:dyDescent="0.3">
      <c r="A138" s="9" t="s">
        <v>333</v>
      </c>
      <c r="D138" s="3">
        <v>4213</v>
      </c>
      <c r="E138" s="3">
        <v>253</v>
      </c>
      <c r="F138" s="3">
        <v>434</v>
      </c>
      <c r="G138" s="3" t="s">
        <v>324</v>
      </c>
      <c r="H138" s="3" t="s">
        <v>315</v>
      </c>
      <c r="I138" s="7">
        <v>75437</v>
      </c>
    </row>
    <row r="139" spans="1:9" x14ac:dyDescent="0.3">
      <c r="A139" s="9" t="s">
        <v>322</v>
      </c>
      <c r="D139" s="3">
        <v>3134</v>
      </c>
      <c r="E139" s="3">
        <v>888</v>
      </c>
      <c r="F139" s="3">
        <v>444</v>
      </c>
      <c r="G139" s="3" t="s">
        <v>319</v>
      </c>
      <c r="H139" s="3" t="s">
        <v>315</v>
      </c>
      <c r="I139" s="7">
        <v>21337</v>
      </c>
    </row>
    <row r="140" spans="1:9" x14ac:dyDescent="0.3">
      <c r="A140" s="9" t="s">
        <v>333</v>
      </c>
      <c r="D140" s="3">
        <v>3008</v>
      </c>
      <c r="E140" s="3">
        <v>94</v>
      </c>
      <c r="F140" s="3">
        <v>37</v>
      </c>
      <c r="G140" s="3" t="s">
        <v>324</v>
      </c>
      <c r="H140" s="3" t="s">
        <v>338</v>
      </c>
      <c r="I140" s="7">
        <v>14639</v>
      </c>
    </row>
    <row r="141" spans="1:9" x14ac:dyDescent="0.3">
      <c r="A141" s="9" t="s">
        <v>333</v>
      </c>
      <c r="D141" s="3">
        <v>305</v>
      </c>
      <c r="E141" s="3">
        <v>187</v>
      </c>
      <c r="F141" s="3">
        <v>243</v>
      </c>
      <c r="G141" s="3" t="s">
        <v>311</v>
      </c>
      <c r="H141" s="3" t="s">
        <v>329</v>
      </c>
      <c r="I141" s="7">
        <v>3704</v>
      </c>
    </row>
    <row r="142" spans="1:9" x14ac:dyDescent="0.3">
      <c r="A142" s="9" t="s">
        <v>322</v>
      </c>
      <c r="D142" s="3">
        <v>2746</v>
      </c>
      <c r="E142" s="3">
        <v>156</v>
      </c>
      <c r="F142" s="3">
        <v>203</v>
      </c>
      <c r="G142" s="3" t="s">
        <v>316</v>
      </c>
      <c r="H142" s="3" t="s">
        <v>315</v>
      </c>
      <c r="I142" s="7">
        <v>32147</v>
      </c>
    </row>
    <row r="143" spans="1:9" x14ac:dyDescent="0.3">
      <c r="A143" s="9" t="s">
        <v>322</v>
      </c>
      <c r="B143" t="s">
        <v>525</v>
      </c>
      <c r="D143" s="3">
        <v>2291</v>
      </c>
      <c r="E143" s="3">
        <v>78</v>
      </c>
      <c r="F143" s="3">
        <v>485</v>
      </c>
      <c r="G143" s="3" t="s">
        <v>324</v>
      </c>
      <c r="H143" s="3" t="s">
        <v>329</v>
      </c>
      <c r="I143" s="7">
        <v>18101</v>
      </c>
    </row>
    <row r="144" spans="1:9" x14ac:dyDescent="0.3">
      <c r="A144" s="9" t="s">
        <v>333</v>
      </c>
      <c r="D144" s="3">
        <v>3170</v>
      </c>
      <c r="E144" s="3">
        <v>857</v>
      </c>
      <c r="F144" s="3">
        <v>379</v>
      </c>
      <c r="G144" s="3" t="s">
        <v>311</v>
      </c>
      <c r="H144" s="3" t="s">
        <v>329</v>
      </c>
      <c r="I144" s="7">
        <v>18559</v>
      </c>
    </row>
    <row r="145" spans="1:9" x14ac:dyDescent="0.3">
      <c r="A145" s="9" t="s">
        <v>333</v>
      </c>
      <c r="D145" s="3">
        <v>2070</v>
      </c>
      <c r="E145" s="3">
        <v>275</v>
      </c>
      <c r="F145" s="3">
        <v>386</v>
      </c>
      <c r="G145" s="3" t="s">
        <v>316</v>
      </c>
      <c r="H145" s="3" t="s">
        <v>321</v>
      </c>
      <c r="I145" s="7">
        <v>38627</v>
      </c>
    </row>
    <row r="146" spans="1:9" x14ac:dyDescent="0.3">
      <c r="A146" s="9" t="s">
        <v>318</v>
      </c>
      <c r="D146" s="3">
        <v>80</v>
      </c>
      <c r="E146" s="3">
        <v>362</v>
      </c>
      <c r="F146" s="3">
        <v>80</v>
      </c>
      <c r="G146" s="3" t="s">
        <v>316</v>
      </c>
      <c r="H146" s="3" t="s">
        <v>326</v>
      </c>
      <c r="I146" s="7">
        <v>349</v>
      </c>
    </row>
    <row r="147" spans="1:9" x14ac:dyDescent="0.3">
      <c r="A147" s="9" t="s">
        <v>322</v>
      </c>
      <c r="D147" s="3">
        <v>4929</v>
      </c>
      <c r="E147" s="3">
        <v>749</v>
      </c>
      <c r="F147" s="3">
        <v>452</v>
      </c>
      <c r="G147" s="3" t="s">
        <v>316</v>
      </c>
      <c r="H147" s="3" t="s">
        <v>321</v>
      </c>
      <c r="I147" s="7">
        <v>92810</v>
      </c>
    </row>
    <row r="148" spans="1:9" x14ac:dyDescent="0.3">
      <c r="A148" s="9" t="s">
        <v>318</v>
      </c>
      <c r="D148" s="3">
        <v>1878</v>
      </c>
      <c r="E148" s="3">
        <v>62</v>
      </c>
      <c r="F148" s="3">
        <v>179</v>
      </c>
      <c r="G148" s="3" t="s">
        <v>319</v>
      </c>
      <c r="H148" s="3" t="s">
        <v>326</v>
      </c>
      <c r="I148" s="7">
        <v>36874</v>
      </c>
    </row>
    <row r="149" spans="1:9" x14ac:dyDescent="0.3">
      <c r="A149" s="9" t="s">
        <v>322</v>
      </c>
      <c r="B149" t="s">
        <v>523</v>
      </c>
      <c r="D149" s="3">
        <v>3065</v>
      </c>
      <c r="E149" s="3">
        <v>772</v>
      </c>
      <c r="F149" s="3">
        <v>142</v>
      </c>
      <c r="G149" s="3" t="s">
        <v>316</v>
      </c>
      <c r="H149" s="3" t="s">
        <v>313</v>
      </c>
      <c r="I149" s="7">
        <v>17875</v>
      </c>
    </row>
    <row r="150" spans="1:9" x14ac:dyDescent="0.3">
      <c r="A150" s="9" t="s">
        <v>318</v>
      </c>
      <c r="D150" s="3">
        <v>3256</v>
      </c>
      <c r="E150" s="3">
        <v>459</v>
      </c>
      <c r="F150" s="3">
        <v>266</v>
      </c>
      <c r="G150" s="3" t="s">
        <v>319</v>
      </c>
      <c r="H150" s="3" t="s">
        <v>313</v>
      </c>
      <c r="I150" s="7">
        <v>25529</v>
      </c>
    </row>
    <row r="151" spans="1:9" x14ac:dyDescent="0.3">
      <c r="A151" s="9" t="s">
        <v>322</v>
      </c>
      <c r="D151" s="3">
        <v>4133</v>
      </c>
      <c r="E151" s="3">
        <v>466</v>
      </c>
      <c r="F151" s="3">
        <v>327</v>
      </c>
      <c r="G151" s="3" t="s">
        <v>319</v>
      </c>
      <c r="H151" s="3" t="s">
        <v>338</v>
      </c>
      <c r="I151" s="7">
        <v>24620</v>
      </c>
    </row>
    <row r="152" spans="1:9" x14ac:dyDescent="0.3">
      <c r="A152" s="9" t="s">
        <v>322</v>
      </c>
      <c r="D152" s="3">
        <v>1702</v>
      </c>
      <c r="E152" s="3">
        <v>750</v>
      </c>
      <c r="F152" s="3">
        <v>179</v>
      </c>
      <c r="G152" s="3" t="s">
        <v>311</v>
      </c>
      <c r="H152" s="3" t="s">
        <v>338</v>
      </c>
      <c r="I152" s="7">
        <v>33174</v>
      </c>
    </row>
    <row r="153" spans="1:9" x14ac:dyDescent="0.3">
      <c r="A153" s="9" t="s">
        <v>318</v>
      </c>
      <c r="D153" s="3">
        <v>4295</v>
      </c>
      <c r="E153" s="3">
        <v>853</v>
      </c>
      <c r="F153" s="3">
        <v>325</v>
      </c>
      <c r="G153" s="3" t="s">
        <v>316</v>
      </c>
      <c r="H153" s="3" t="s">
        <v>326</v>
      </c>
      <c r="I153" s="7">
        <v>85788</v>
      </c>
    </row>
    <row r="154" spans="1:9" x14ac:dyDescent="0.3">
      <c r="A154" s="9" t="s">
        <v>322</v>
      </c>
      <c r="D154" s="3">
        <v>3559</v>
      </c>
      <c r="E154" s="3">
        <v>59</v>
      </c>
      <c r="F154" s="3">
        <v>289</v>
      </c>
      <c r="G154" s="3" t="s">
        <v>319</v>
      </c>
      <c r="H154" s="3" t="s">
        <v>329</v>
      </c>
      <c r="I154" s="7">
        <v>35105</v>
      </c>
    </row>
    <row r="155" spans="1:9" x14ac:dyDescent="0.3">
      <c r="A155" s="9" t="s">
        <v>322</v>
      </c>
      <c r="D155" s="3">
        <v>4804</v>
      </c>
      <c r="E155" s="3">
        <v>550</v>
      </c>
      <c r="F155" s="3">
        <v>270</v>
      </c>
      <c r="G155" s="3" t="s">
        <v>324</v>
      </c>
      <c r="H155" s="3" t="s">
        <v>329</v>
      </c>
      <c r="I155" s="7">
        <v>28370</v>
      </c>
    </row>
    <row r="156" spans="1:9" x14ac:dyDescent="0.3">
      <c r="A156" s="9" t="s">
        <v>318</v>
      </c>
      <c r="D156" s="3">
        <v>754</v>
      </c>
      <c r="E156" s="3">
        <v>197</v>
      </c>
      <c r="F156" s="3">
        <v>257</v>
      </c>
      <c r="G156" s="3" t="s">
        <v>311</v>
      </c>
      <c r="H156" s="3" t="s">
        <v>338</v>
      </c>
      <c r="I156" s="7">
        <v>6221</v>
      </c>
    </row>
    <row r="157" spans="1:9" x14ac:dyDescent="0.3">
      <c r="A157" s="9" t="s">
        <v>333</v>
      </c>
      <c r="D157" s="3">
        <v>985</v>
      </c>
      <c r="E157" s="3">
        <v>932</v>
      </c>
      <c r="F157" s="3">
        <v>287</v>
      </c>
      <c r="G157" s="3" t="s">
        <v>319</v>
      </c>
      <c r="H157" s="3" t="s">
        <v>326</v>
      </c>
      <c r="I157" s="7">
        <v>6757</v>
      </c>
    </row>
    <row r="158" spans="1:9" x14ac:dyDescent="0.3">
      <c r="A158" s="9" t="s">
        <v>333</v>
      </c>
      <c r="D158" s="3">
        <v>2283</v>
      </c>
      <c r="E158" s="3">
        <v>210</v>
      </c>
      <c r="F158" s="3">
        <v>130</v>
      </c>
      <c r="G158" s="3" t="s">
        <v>316</v>
      </c>
      <c r="H158" s="3" t="s">
        <v>329</v>
      </c>
      <c r="I158" s="7">
        <v>22617</v>
      </c>
    </row>
    <row r="159" spans="1:9" x14ac:dyDescent="0.3">
      <c r="A159" s="9" t="s">
        <v>333</v>
      </c>
      <c r="D159" s="3">
        <v>3352</v>
      </c>
      <c r="E159" s="3">
        <v>941</v>
      </c>
      <c r="F159" s="3">
        <v>482</v>
      </c>
      <c r="G159" s="3" t="s">
        <v>324</v>
      </c>
      <c r="H159" s="3" t="s">
        <v>326</v>
      </c>
      <c r="I159" s="7">
        <v>43338</v>
      </c>
    </row>
    <row r="160" spans="1:9" x14ac:dyDescent="0.3">
      <c r="A160" s="9" t="s">
        <v>333</v>
      </c>
      <c r="D160" s="3">
        <v>4775</v>
      </c>
      <c r="E160" s="3">
        <v>173</v>
      </c>
      <c r="F160" s="3">
        <v>206</v>
      </c>
      <c r="G160" s="3" t="s">
        <v>316</v>
      </c>
      <c r="H160" s="3" t="s">
        <v>321</v>
      </c>
      <c r="I160" s="7">
        <v>47544</v>
      </c>
    </row>
    <row r="161" spans="1:9" x14ac:dyDescent="0.3">
      <c r="A161" s="9" t="s">
        <v>318</v>
      </c>
      <c r="D161" s="3">
        <v>1762</v>
      </c>
      <c r="E161" s="3">
        <v>405</v>
      </c>
      <c r="F161" s="3">
        <v>423</v>
      </c>
      <c r="G161" s="3" t="s">
        <v>319</v>
      </c>
      <c r="H161" s="3" t="s">
        <v>321</v>
      </c>
      <c r="I161" s="7">
        <v>21925</v>
      </c>
    </row>
    <row r="162" spans="1:9" x14ac:dyDescent="0.3">
      <c r="A162" s="9" t="s">
        <v>333</v>
      </c>
      <c r="D162" s="3">
        <v>2120</v>
      </c>
      <c r="E162" s="3">
        <v>158</v>
      </c>
      <c r="F162" s="3">
        <v>488</v>
      </c>
      <c r="G162" s="3" t="s">
        <v>324</v>
      </c>
      <c r="H162" s="3" t="s">
        <v>321</v>
      </c>
      <c r="I162" s="7">
        <v>12085</v>
      </c>
    </row>
    <row r="163" spans="1:9" x14ac:dyDescent="0.3">
      <c r="A163" s="9" t="s">
        <v>318</v>
      </c>
      <c r="D163" s="3">
        <v>1082</v>
      </c>
      <c r="E163" s="3">
        <v>209</v>
      </c>
      <c r="F163" s="3">
        <v>484</v>
      </c>
      <c r="G163" s="3" t="s">
        <v>311</v>
      </c>
      <c r="H163" s="3" t="s">
        <v>338</v>
      </c>
      <c r="I163" s="7">
        <v>18654</v>
      </c>
    </row>
    <row r="164" spans="1:9" x14ac:dyDescent="0.3">
      <c r="A164" s="9" t="s">
        <v>318</v>
      </c>
      <c r="D164" s="3">
        <v>4671</v>
      </c>
      <c r="E164" s="3">
        <v>876</v>
      </c>
      <c r="F164" s="3">
        <v>366</v>
      </c>
      <c r="G164" s="3" t="s">
        <v>311</v>
      </c>
      <c r="H164" s="3" t="s">
        <v>315</v>
      </c>
      <c r="I164" s="7">
        <v>50565</v>
      </c>
    </row>
    <row r="165" spans="1:9" x14ac:dyDescent="0.3">
      <c r="A165" s="9" t="s">
        <v>333</v>
      </c>
      <c r="D165" s="3">
        <v>3430</v>
      </c>
      <c r="E165" s="3">
        <v>566</v>
      </c>
      <c r="F165" s="3">
        <v>164</v>
      </c>
      <c r="G165" s="3" t="s">
        <v>324</v>
      </c>
      <c r="H165" s="3" t="s">
        <v>321</v>
      </c>
      <c r="I165" s="7">
        <v>47305</v>
      </c>
    </row>
    <row r="166" spans="1:9" x14ac:dyDescent="0.3">
      <c r="A166" s="9" t="s">
        <v>318</v>
      </c>
      <c r="D166" s="3">
        <v>4501</v>
      </c>
      <c r="E166" s="3">
        <v>375</v>
      </c>
      <c r="F166" s="3">
        <v>323</v>
      </c>
      <c r="G166" s="3" t="s">
        <v>319</v>
      </c>
      <c r="H166" s="3" t="s">
        <v>329</v>
      </c>
      <c r="I166" s="7">
        <v>21836</v>
      </c>
    </row>
    <row r="167" spans="1:9" x14ac:dyDescent="0.3">
      <c r="A167" s="9" t="s">
        <v>318</v>
      </c>
      <c r="B167" t="s">
        <v>523</v>
      </c>
      <c r="D167" s="3">
        <v>4934</v>
      </c>
      <c r="E167" s="3">
        <v>971</v>
      </c>
      <c r="F167" s="3">
        <v>156</v>
      </c>
      <c r="G167" s="3" t="s">
        <v>316</v>
      </c>
      <c r="H167" s="3" t="s">
        <v>315</v>
      </c>
      <c r="I167" s="7">
        <v>39025</v>
      </c>
    </row>
    <row r="168" spans="1:9" x14ac:dyDescent="0.3">
      <c r="A168" s="9" t="s">
        <v>318</v>
      </c>
      <c r="D168" s="3">
        <v>3239</v>
      </c>
      <c r="E168" s="3">
        <v>43</v>
      </c>
      <c r="F168" s="3">
        <v>211</v>
      </c>
      <c r="G168" s="3" t="s">
        <v>311</v>
      </c>
      <c r="H168" s="3" t="s">
        <v>315</v>
      </c>
      <c r="I168" s="7">
        <v>22171</v>
      </c>
    </row>
    <row r="169" spans="1:9" x14ac:dyDescent="0.3">
      <c r="A169" s="9" t="s">
        <v>333</v>
      </c>
      <c r="D169" s="3">
        <v>1076</v>
      </c>
      <c r="E169" s="3">
        <v>313</v>
      </c>
      <c r="F169" s="3">
        <v>306</v>
      </c>
      <c r="G169" s="3" t="s">
        <v>311</v>
      </c>
      <c r="H169" s="3" t="s">
        <v>313</v>
      </c>
      <c r="I169" s="7">
        <v>11596</v>
      </c>
    </row>
    <row r="170" spans="1:9" x14ac:dyDescent="0.3">
      <c r="A170" s="9" t="s">
        <v>333</v>
      </c>
      <c r="D170" s="3">
        <v>4771</v>
      </c>
      <c r="E170" s="3">
        <v>818</v>
      </c>
      <c r="F170" s="3">
        <v>56</v>
      </c>
      <c r="G170" s="3" t="s">
        <v>319</v>
      </c>
      <c r="H170" s="3" t="s">
        <v>315</v>
      </c>
      <c r="I170" s="7">
        <v>56378</v>
      </c>
    </row>
    <row r="171" spans="1:9" x14ac:dyDescent="0.3">
      <c r="A171" s="9" t="s">
        <v>322</v>
      </c>
      <c r="D171" s="3">
        <v>2418</v>
      </c>
      <c r="E171" s="3">
        <v>754</v>
      </c>
      <c r="F171" s="3">
        <v>54</v>
      </c>
      <c r="G171" s="3" t="s">
        <v>324</v>
      </c>
      <c r="H171" s="3" t="s">
        <v>315</v>
      </c>
      <c r="I171" s="7">
        <v>42743</v>
      </c>
    </row>
    <row r="172" spans="1:9" x14ac:dyDescent="0.3">
      <c r="A172" s="9" t="s">
        <v>322</v>
      </c>
      <c r="D172" s="3">
        <v>3809</v>
      </c>
      <c r="E172" s="3">
        <v>273</v>
      </c>
      <c r="F172" s="3">
        <v>200</v>
      </c>
      <c r="G172" s="3" t="s">
        <v>316</v>
      </c>
      <c r="H172" s="3" t="s">
        <v>338</v>
      </c>
      <c r="I172" s="7">
        <v>33534</v>
      </c>
    </row>
    <row r="173" spans="1:9" x14ac:dyDescent="0.3">
      <c r="A173" s="9" t="s">
        <v>318</v>
      </c>
      <c r="D173" s="3">
        <v>3577</v>
      </c>
      <c r="E173" s="3">
        <v>596</v>
      </c>
      <c r="F173" s="3">
        <v>493</v>
      </c>
      <c r="G173" s="3" t="s">
        <v>311</v>
      </c>
      <c r="H173" s="3" t="s">
        <v>315</v>
      </c>
      <c r="I173" s="7">
        <v>67839</v>
      </c>
    </row>
    <row r="174" spans="1:9" x14ac:dyDescent="0.3">
      <c r="A174" s="9" t="s">
        <v>333</v>
      </c>
      <c r="D174" s="3">
        <v>1018</v>
      </c>
      <c r="E174" s="3">
        <v>447</v>
      </c>
      <c r="F174" s="3">
        <v>332</v>
      </c>
      <c r="G174" s="3" t="s">
        <v>316</v>
      </c>
      <c r="H174" s="3" t="s">
        <v>338</v>
      </c>
      <c r="I174" s="7">
        <v>18164</v>
      </c>
    </row>
    <row r="175" spans="1:9" x14ac:dyDescent="0.3">
      <c r="A175" s="9" t="s">
        <v>322</v>
      </c>
      <c r="D175" s="3">
        <v>3073</v>
      </c>
      <c r="E175" s="3">
        <v>553</v>
      </c>
      <c r="F175" s="3">
        <v>174</v>
      </c>
      <c r="G175" s="3" t="s">
        <v>324</v>
      </c>
      <c r="H175" s="3" t="s">
        <v>326</v>
      </c>
      <c r="I175" s="7">
        <v>51605</v>
      </c>
    </row>
    <row r="176" spans="1:9" x14ac:dyDescent="0.3">
      <c r="A176" s="9" t="s">
        <v>333</v>
      </c>
      <c r="D176" s="3">
        <v>1330</v>
      </c>
      <c r="E176" s="3">
        <v>925</v>
      </c>
      <c r="F176" s="3">
        <v>35</v>
      </c>
      <c r="G176" s="3" t="s">
        <v>311</v>
      </c>
      <c r="H176" s="3" t="s">
        <v>338</v>
      </c>
      <c r="I176" s="7">
        <v>15379</v>
      </c>
    </row>
    <row r="177" spans="1:9" x14ac:dyDescent="0.3">
      <c r="A177" s="9" t="s">
        <v>322</v>
      </c>
      <c r="D177" s="3">
        <v>3828</v>
      </c>
      <c r="E177" s="3">
        <v>148</v>
      </c>
      <c r="F177" s="3">
        <v>253</v>
      </c>
      <c r="G177" s="3" t="s">
        <v>324</v>
      </c>
      <c r="H177" s="3" t="s">
        <v>315</v>
      </c>
      <c r="I177" s="7">
        <v>30229</v>
      </c>
    </row>
    <row r="178" spans="1:9" x14ac:dyDescent="0.3">
      <c r="A178" s="9" t="s">
        <v>333</v>
      </c>
      <c r="D178" s="3">
        <v>142</v>
      </c>
      <c r="E178" s="3">
        <v>784</v>
      </c>
      <c r="F178" s="3">
        <v>183</v>
      </c>
      <c r="G178" s="3" t="s">
        <v>319</v>
      </c>
      <c r="H178" s="3" t="s">
        <v>313</v>
      </c>
      <c r="I178" s="7">
        <v>995</v>
      </c>
    </row>
    <row r="179" spans="1:9" x14ac:dyDescent="0.3">
      <c r="A179" s="9" t="s">
        <v>318</v>
      </c>
      <c r="D179" s="3">
        <v>3798</v>
      </c>
      <c r="E179" s="3">
        <v>31</v>
      </c>
      <c r="F179" s="3">
        <v>279</v>
      </c>
      <c r="G179" s="3" t="s">
        <v>324</v>
      </c>
      <c r="H179" s="3" t="s">
        <v>338</v>
      </c>
      <c r="I179" s="7">
        <v>75813</v>
      </c>
    </row>
    <row r="180" spans="1:9" x14ac:dyDescent="0.3">
      <c r="A180" s="9" t="s">
        <v>318</v>
      </c>
      <c r="D180" s="3">
        <v>3099</v>
      </c>
      <c r="E180" s="3">
        <v>694</v>
      </c>
      <c r="F180" s="3">
        <v>171</v>
      </c>
      <c r="G180" s="3" t="s">
        <v>319</v>
      </c>
      <c r="H180" s="3" t="s">
        <v>326</v>
      </c>
      <c r="I180" s="7">
        <v>42921</v>
      </c>
    </row>
    <row r="181" spans="1:9" x14ac:dyDescent="0.3">
      <c r="A181" s="9" t="s">
        <v>318</v>
      </c>
      <c r="D181" s="3">
        <v>129</v>
      </c>
      <c r="E181" s="3">
        <v>643</v>
      </c>
      <c r="F181" s="3">
        <v>136</v>
      </c>
      <c r="G181" s="3" t="s">
        <v>319</v>
      </c>
      <c r="H181" s="3" t="s">
        <v>338</v>
      </c>
      <c r="I181" s="7">
        <v>839</v>
      </c>
    </row>
    <row r="182" spans="1:9" x14ac:dyDescent="0.3">
      <c r="A182" s="9" t="s">
        <v>318</v>
      </c>
      <c r="D182" s="3">
        <v>3796</v>
      </c>
      <c r="E182" s="3">
        <v>667</v>
      </c>
      <c r="F182" s="3">
        <v>395</v>
      </c>
      <c r="G182" s="3" t="s">
        <v>324</v>
      </c>
      <c r="H182" s="3" t="s">
        <v>326</v>
      </c>
      <c r="I182" s="7">
        <v>63550</v>
      </c>
    </row>
    <row r="183" spans="1:9" x14ac:dyDescent="0.3">
      <c r="A183" s="9" t="s">
        <v>318</v>
      </c>
      <c r="D183" s="3">
        <v>3711</v>
      </c>
      <c r="E183" s="3">
        <v>352</v>
      </c>
      <c r="F183" s="3">
        <v>290</v>
      </c>
      <c r="G183" s="3" t="s">
        <v>316</v>
      </c>
      <c r="H183" s="3" t="s">
        <v>315</v>
      </c>
      <c r="I183" s="7">
        <v>47579</v>
      </c>
    </row>
    <row r="184" spans="1:9" x14ac:dyDescent="0.3">
      <c r="A184" s="9" t="s">
        <v>322</v>
      </c>
      <c r="D184" s="3">
        <v>606</v>
      </c>
      <c r="E184" s="3">
        <v>789</v>
      </c>
      <c r="F184" s="3">
        <v>470</v>
      </c>
      <c r="G184" s="3" t="s">
        <v>316</v>
      </c>
      <c r="H184" s="3" t="s">
        <v>329</v>
      </c>
      <c r="I184" s="7">
        <v>7389</v>
      </c>
    </row>
    <row r="185" spans="1:9" x14ac:dyDescent="0.3">
      <c r="A185" s="9" t="s">
        <v>318</v>
      </c>
      <c r="D185" s="3">
        <v>4689</v>
      </c>
      <c r="E185" s="3">
        <v>134</v>
      </c>
      <c r="F185" s="3">
        <v>403</v>
      </c>
      <c r="G185" s="3" t="s">
        <v>324</v>
      </c>
      <c r="H185" s="3" t="s">
        <v>329</v>
      </c>
      <c r="I185" s="7">
        <v>50924</v>
      </c>
    </row>
    <row r="186" spans="1:9" x14ac:dyDescent="0.3">
      <c r="A186" s="9" t="s">
        <v>333</v>
      </c>
      <c r="D186" s="3">
        <v>360</v>
      </c>
      <c r="E186" s="3">
        <v>590</v>
      </c>
      <c r="F186" s="3">
        <v>393</v>
      </c>
      <c r="G186" s="3" t="s">
        <v>319</v>
      </c>
      <c r="H186" s="3" t="s">
        <v>321</v>
      </c>
      <c r="I186" s="7">
        <v>4322</v>
      </c>
    </row>
    <row r="187" spans="1:9" x14ac:dyDescent="0.3">
      <c r="A187" s="9" t="s">
        <v>322</v>
      </c>
      <c r="D187" s="3">
        <v>3215</v>
      </c>
      <c r="E187" s="3">
        <v>960</v>
      </c>
      <c r="F187" s="3">
        <v>202</v>
      </c>
      <c r="G187" s="3" t="s">
        <v>311</v>
      </c>
      <c r="H187" s="3" t="s">
        <v>329</v>
      </c>
      <c r="I187" s="7">
        <v>31404</v>
      </c>
    </row>
    <row r="188" spans="1:9" x14ac:dyDescent="0.3">
      <c r="A188" s="9" t="s">
        <v>322</v>
      </c>
      <c r="D188" s="3">
        <v>4523</v>
      </c>
      <c r="E188" s="3">
        <v>61</v>
      </c>
      <c r="F188" s="3">
        <v>157</v>
      </c>
      <c r="G188" s="3" t="s">
        <v>319</v>
      </c>
      <c r="H188" s="3" t="s">
        <v>326</v>
      </c>
      <c r="I188" s="7">
        <v>49329</v>
      </c>
    </row>
    <row r="189" spans="1:9" x14ac:dyDescent="0.3">
      <c r="A189" s="9" t="s">
        <v>322</v>
      </c>
      <c r="D189" s="3">
        <v>4292</v>
      </c>
      <c r="E189" s="3">
        <v>51</v>
      </c>
      <c r="F189" s="3">
        <v>392</v>
      </c>
      <c r="G189" s="3" t="s">
        <v>324</v>
      </c>
      <c r="H189" s="3" t="s">
        <v>326</v>
      </c>
      <c r="I189" s="7">
        <v>54826</v>
      </c>
    </row>
    <row r="190" spans="1:9" x14ac:dyDescent="0.3">
      <c r="A190" s="9" t="s">
        <v>322</v>
      </c>
      <c r="D190" s="3">
        <v>1644</v>
      </c>
      <c r="E190" s="3">
        <v>546</v>
      </c>
      <c r="F190" s="3">
        <v>150</v>
      </c>
      <c r="G190" s="3" t="s">
        <v>311</v>
      </c>
      <c r="H190" s="3" t="s">
        <v>313</v>
      </c>
      <c r="I190" s="7">
        <v>27184</v>
      </c>
    </row>
    <row r="191" spans="1:9" x14ac:dyDescent="0.3">
      <c r="A191" s="9" t="s">
        <v>333</v>
      </c>
      <c r="D191" s="3">
        <v>2728</v>
      </c>
      <c r="E191" s="3">
        <v>533</v>
      </c>
      <c r="F191" s="3">
        <v>215</v>
      </c>
      <c r="G191" s="3" t="s">
        <v>316</v>
      </c>
      <c r="H191" s="3" t="s">
        <v>313</v>
      </c>
      <c r="I191" s="7">
        <v>40816</v>
      </c>
    </row>
    <row r="192" spans="1:9" x14ac:dyDescent="0.3">
      <c r="A192" s="9" t="s">
        <v>318</v>
      </c>
      <c r="D192" s="3">
        <v>3360</v>
      </c>
      <c r="E192" s="3">
        <v>525</v>
      </c>
      <c r="F192" s="3">
        <v>500</v>
      </c>
      <c r="G192" s="3" t="s">
        <v>324</v>
      </c>
      <c r="H192" s="3" t="s">
        <v>313</v>
      </c>
      <c r="I192" s="7">
        <v>59610</v>
      </c>
    </row>
    <row r="193" spans="1:9" x14ac:dyDescent="0.3">
      <c r="A193" s="9" t="s">
        <v>333</v>
      </c>
      <c r="D193" s="3">
        <v>1963</v>
      </c>
      <c r="E193" s="3">
        <v>213</v>
      </c>
      <c r="F193" s="3">
        <v>19</v>
      </c>
      <c r="G193" s="3" t="s">
        <v>316</v>
      </c>
      <c r="H193" s="3" t="s">
        <v>315</v>
      </c>
      <c r="I193" s="7">
        <v>38771</v>
      </c>
    </row>
    <row r="194" spans="1:9" x14ac:dyDescent="0.3">
      <c r="A194" s="9" t="s">
        <v>333</v>
      </c>
      <c r="D194" s="3">
        <v>4285</v>
      </c>
      <c r="E194" s="3">
        <v>886</v>
      </c>
      <c r="F194" s="3">
        <v>376</v>
      </c>
      <c r="G194" s="3" t="s">
        <v>316</v>
      </c>
      <c r="H194" s="3" t="s">
        <v>321</v>
      </c>
      <c r="I194" s="7">
        <v>55556</v>
      </c>
    </row>
    <row r="195" spans="1:9" x14ac:dyDescent="0.3">
      <c r="A195" s="9" t="s">
        <v>322</v>
      </c>
      <c r="D195" s="3">
        <v>1176</v>
      </c>
      <c r="E195" s="3">
        <v>464</v>
      </c>
      <c r="F195" s="3">
        <v>394</v>
      </c>
      <c r="G195" s="3" t="s">
        <v>319</v>
      </c>
      <c r="H195" s="3" t="s">
        <v>338</v>
      </c>
      <c r="I195" s="7">
        <v>13588</v>
      </c>
    </row>
    <row r="196" spans="1:9" x14ac:dyDescent="0.3">
      <c r="A196" s="9" t="s">
        <v>322</v>
      </c>
      <c r="D196" s="3">
        <v>4858</v>
      </c>
      <c r="E196" s="3">
        <v>317</v>
      </c>
      <c r="F196" s="3">
        <v>129</v>
      </c>
      <c r="G196" s="3" t="s">
        <v>311</v>
      </c>
      <c r="H196" s="3" t="s">
        <v>329</v>
      </c>
      <c r="I196" s="7">
        <v>52687</v>
      </c>
    </row>
    <row r="197" spans="1:9" x14ac:dyDescent="0.3">
      <c r="A197" s="9" t="s">
        <v>322</v>
      </c>
      <c r="D197" s="3">
        <v>4350</v>
      </c>
      <c r="E197" s="3">
        <v>771</v>
      </c>
      <c r="F197" s="3">
        <v>7</v>
      </c>
      <c r="G197" s="3" t="s">
        <v>316</v>
      </c>
      <c r="H197" s="3" t="s">
        <v>321</v>
      </c>
      <c r="I197" s="7">
        <v>60592</v>
      </c>
    </row>
    <row r="198" spans="1:9" x14ac:dyDescent="0.3">
      <c r="A198" s="9" t="s">
        <v>333</v>
      </c>
      <c r="B198" t="s">
        <v>318</v>
      </c>
      <c r="C198" t="s">
        <v>523</v>
      </c>
      <c r="D198" s="3">
        <v>914</v>
      </c>
      <c r="E198" s="3">
        <v>464</v>
      </c>
      <c r="F198" s="3">
        <v>246</v>
      </c>
      <c r="G198" s="3" t="s">
        <v>319</v>
      </c>
      <c r="H198" s="3" t="s">
        <v>326</v>
      </c>
      <c r="I198" s="7">
        <v>11500</v>
      </c>
    </row>
    <row r="199" spans="1:9" x14ac:dyDescent="0.3">
      <c r="A199" s="9" t="s">
        <v>322</v>
      </c>
      <c r="D199" s="3">
        <v>1813</v>
      </c>
      <c r="E199" s="3">
        <v>623</v>
      </c>
      <c r="F199" s="3">
        <v>72</v>
      </c>
      <c r="G199" s="3" t="s">
        <v>319</v>
      </c>
      <c r="H199" s="3" t="s">
        <v>315</v>
      </c>
      <c r="I199" s="7">
        <v>18959</v>
      </c>
    </row>
    <row r="200" spans="1:9" x14ac:dyDescent="0.3">
      <c r="A200" s="9" t="s">
        <v>322</v>
      </c>
      <c r="D200" s="3">
        <v>4782</v>
      </c>
      <c r="E200" s="3">
        <v>721</v>
      </c>
      <c r="F200" s="3">
        <v>82</v>
      </c>
      <c r="G200" s="3" t="s">
        <v>311</v>
      </c>
      <c r="H200" s="3" t="s">
        <v>313</v>
      </c>
      <c r="I200" s="7">
        <v>85339</v>
      </c>
    </row>
    <row r="201" spans="1:9" x14ac:dyDescent="0.3">
      <c r="A201" s="9" t="s">
        <v>318</v>
      </c>
      <c r="D201" s="3">
        <v>1048</v>
      </c>
      <c r="E201" s="3">
        <v>374</v>
      </c>
      <c r="F201" s="3">
        <v>450</v>
      </c>
      <c r="G201" s="3" t="s">
        <v>311</v>
      </c>
      <c r="H201" s="3" t="s">
        <v>329</v>
      </c>
      <c r="I201" s="7">
        <v>8882</v>
      </c>
    </row>
    <row r="202" spans="1:9" x14ac:dyDescent="0.3">
      <c r="A202" s="9" t="s">
        <v>318</v>
      </c>
      <c r="D202" s="3">
        <v>2509</v>
      </c>
      <c r="E202" s="3">
        <v>324</v>
      </c>
      <c r="F202" s="3">
        <v>171</v>
      </c>
      <c r="G202" s="3" t="s">
        <v>316</v>
      </c>
      <c r="H202" s="3" t="s">
        <v>326</v>
      </c>
      <c r="I202" s="7">
        <v>34685</v>
      </c>
    </row>
    <row r="203" spans="1:9" x14ac:dyDescent="0.3">
      <c r="A203" s="9" t="s">
        <v>318</v>
      </c>
      <c r="D203" s="3">
        <v>3718</v>
      </c>
      <c r="E203" s="3">
        <v>385</v>
      </c>
      <c r="F203" s="3">
        <v>310</v>
      </c>
      <c r="G203" s="3" t="s">
        <v>324</v>
      </c>
      <c r="H203" s="3" t="s">
        <v>313</v>
      </c>
      <c r="I203" s="7">
        <v>69749</v>
      </c>
    </row>
    <row r="204" spans="1:9" x14ac:dyDescent="0.3">
      <c r="A204" s="9" t="s">
        <v>322</v>
      </c>
      <c r="D204" s="3">
        <v>802</v>
      </c>
      <c r="E204" s="3">
        <v>262</v>
      </c>
      <c r="F204" s="3">
        <v>244</v>
      </c>
      <c r="G204" s="3" t="s">
        <v>311</v>
      </c>
      <c r="H204" s="3" t="s">
        <v>313</v>
      </c>
      <c r="I204" s="7">
        <v>14280</v>
      </c>
    </row>
    <row r="205" spans="1:9" x14ac:dyDescent="0.3">
      <c r="A205" s="9" t="s">
        <v>322</v>
      </c>
      <c r="D205" s="3">
        <v>1871</v>
      </c>
      <c r="E205" s="3">
        <v>252</v>
      </c>
      <c r="F205" s="3">
        <v>335</v>
      </c>
      <c r="G205" s="3" t="s">
        <v>324</v>
      </c>
      <c r="H205" s="3" t="s">
        <v>329</v>
      </c>
      <c r="I205" s="7">
        <v>29576</v>
      </c>
    </row>
    <row r="206" spans="1:9" x14ac:dyDescent="0.3">
      <c r="A206" s="9" t="s">
        <v>333</v>
      </c>
      <c r="D206" s="3">
        <v>3773</v>
      </c>
      <c r="E206" s="3">
        <v>299</v>
      </c>
      <c r="F206" s="3">
        <v>38</v>
      </c>
      <c r="G206" s="3" t="s">
        <v>319</v>
      </c>
      <c r="H206" s="3" t="s">
        <v>326</v>
      </c>
      <c r="I206" s="7">
        <v>71447</v>
      </c>
    </row>
    <row r="207" spans="1:9" x14ac:dyDescent="0.3">
      <c r="A207" s="9" t="s">
        <v>333</v>
      </c>
      <c r="D207" s="3">
        <v>2234</v>
      </c>
      <c r="E207" s="3">
        <v>653</v>
      </c>
      <c r="F207" s="3">
        <v>432</v>
      </c>
      <c r="G207" s="3" t="s">
        <v>319</v>
      </c>
      <c r="H207" s="3" t="s">
        <v>326</v>
      </c>
      <c r="I207" s="7">
        <v>10569</v>
      </c>
    </row>
    <row r="208" spans="1:9" x14ac:dyDescent="0.3">
      <c r="A208" s="9" t="s">
        <v>318</v>
      </c>
      <c r="B208" t="s">
        <v>525</v>
      </c>
      <c r="D208" s="3">
        <v>3820</v>
      </c>
      <c r="E208" s="3">
        <v>697</v>
      </c>
      <c r="F208" s="3">
        <v>268</v>
      </c>
      <c r="G208" s="3" t="s">
        <v>311</v>
      </c>
      <c r="H208" s="3" t="s">
        <v>338</v>
      </c>
      <c r="I208" s="7">
        <v>45631</v>
      </c>
    </row>
    <row r="209" spans="1:9" x14ac:dyDescent="0.3">
      <c r="A209" s="9" t="s">
        <v>322</v>
      </c>
      <c r="D209" s="3">
        <v>941</v>
      </c>
      <c r="E209" s="3">
        <v>121</v>
      </c>
      <c r="F209" s="3">
        <v>458</v>
      </c>
      <c r="G209" s="3" t="s">
        <v>311</v>
      </c>
      <c r="H209" s="3" t="s">
        <v>315</v>
      </c>
      <c r="I209" s="7">
        <v>13838</v>
      </c>
    </row>
    <row r="210" spans="1:9" x14ac:dyDescent="0.3">
      <c r="A210" s="9" t="s">
        <v>318</v>
      </c>
      <c r="B210" t="s">
        <v>525</v>
      </c>
      <c r="D210" s="3">
        <v>4274</v>
      </c>
      <c r="E210" s="3">
        <v>340</v>
      </c>
      <c r="F210" s="3">
        <v>281</v>
      </c>
      <c r="G210" s="3" t="s">
        <v>311</v>
      </c>
      <c r="H210" s="3" t="s">
        <v>326</v>
      </c>
      <c r="I210" s="7">
        <v>33446</v>
      </c>
    </row>
    <row r="211" spans="1:9" x14ac:dyDescent="0.3">
      <c r="A211" s="9" t="s">
        <v>318</v>
      </c>
      <c r="D211" s="3">
        <v>2949</v>
      </c>
      <c r="E211" s="3">
        <v>476</v>
      </c>
      <c r="F211" s="3">
        <v>403</v>
      </c>
      <c r="G211" s="3" t="s">
        <v>316</v>
      </c>
      <c r="H211" s="3" t="s">
        <v>338</v>
      </c>
      <c r="I211" s="7">
        <v>43705</v>
      </c>
    </row>
    <row r="212" spans="1:9" x14ac:dyDescent="0.3">
      <c r="A212" s="9" t="s">
        <v>333</v>
      </c>
      <c r="B212" t="s">
        <v>523</v>
      </c>
      <c r="D212" s="3">
        <v>3160</v>
      </c>
      <c r="E212" s="3">
        <v>204</v>
      </c>
      <c r="F212" s="3">
        <v>297</v>
      </c>
      <c r="G212" s="3" t="s">
        <v>311</v>
      </c>
      <c r="H212" s="3" t="s">
        <v>338</v>
      </c>
      <c r="I212" s="7">
        <v>43666</v>
      </c>
    </row>
    <row r="213" spans="1:9" x14ac:dyDescent="0.3">
      <c r="A213" s="9" t="s">
        <v>333</v>
      </c>
      <c r="D213" s="3">
        <v>257</v>
      </c>
      <c r="E213" s="3">
        <v>966</v>
      </c>
      <c r="F213" s="3">
        <v>398</v>
      </c>
      <c r="G213" s="3" t="s">
        <v>316</v>
      </c>
      <c r="H213" s="3" t="s">
        <v>329</v>
      </c>
      <c r="I213" s="7">
        <v>2753</v>
      </c>
    </row>
    <row r="214" spans="1:9" x14ac:dyDescent="0.3">
      <c r="A214" s="9" t="s">
        <v>333</v>
      </c>
      <c r="D214" s="3">
        <v>2120</v>
      </c>
      <c r="E214" s="3">
        <v>38</v>
      </c>
      <c r="F214" s="3">
        <v>212</v>
      </c>
      <c r="G214" s="3" t="s">
        <v>311</v>
      </c>
      <c r="H214" s="3" t="s">
        <v>326</v>
      </c>
      <c r="I214" s="7">
        <v>12564</v>
      </c>
    </row>
    <row r="215" spans="1:9" x14ac:dyDescent="0.3">
      <c r="A215" s="9" t="s">
        <v>318</v>
      </c>
      <c r="D215" s="3">
        <v>3874</v>
      </c>
      <c r="E215" s="3">
        <v>884</v>
      </c>
      <c r="F215" s="3">
        <v>19</v>
      </c>
      <c r="G215" s="3" t="s">
        <v>316</v>
      </c>
      <c r="H215" s="3" t="s">
        <v>338</v>
      </c>
      <c r="I215" s="7">
        <v>38552</v>
      </c>
    </row>
    <row r="216" spans="1:9" x14ac:dyDescent="0.3">
      <c r="A216" s="9" t="s">
        <v>322</v>
      </c>
      <c r="D216" s="3">
        <v>2696</v>
      </c>
      <c r="E216" s="3">
        <v>628</v>
      </c>
      <c r="F216" s="3">
        <v>443</v>
      </c>
      <c r="G216" s="3" t="s">
        <v>324</v>
      </c>
      <c r="H216" s="3" t="s">
        <v>326</v>
      </c>
      <c r="I216" s="7">
        <v>45632</v>
      </c>
    </row>
    <row r="217" spans="1:9" x14ac:dyDescent="0.3">
      <c r="A217" s="9" t="s">
        <v>333</v>
      </c>
      <c r="D217" s="3">
        <v>521</v>
      </c>
      <c r="E217" s="3">
        <v>746</v>
      </c>
      <c r="F217" s="3">
        <v>315</v>
      </c>
      <c r="G217" s="3" t="s">
        <v>319</v>
      </c>
      <c r="H217" s="3" t="s">
        <v>329</v>
      </c>
      <c r="I217" s="7">
        <v>3399</v>
      </c>
    </row>
    <row r="218" spans="1:9" x14ac:dyDescent="0.3">
      <c r="A218" s="9" t="s">
        <v>322</v>
      </c>
      <c r="D218" s="3">
        <v>4872</v>
      </c>
      <c r="E218" s="3">
        <v>925</v>
      </c>
      <c r="F218" s="3">
        <v>176</v>
      </c>
      <c r="G218" s="3" t="s">
        <v>324</v>
      </c>
      <c r="H218" s="3" t="s">
        <v>329</v>
      </c>
      <c r="I218" s="7">
        <v>82543</v>
      </c>
    </row>
    <row r="219" spans="1:9" x14ac:dyDescent="0.3">
      <c r="A219" s="9" t="s">
        <v>322</v>
      </c>
      <c r="D219" s="3">
        <v>1509</v>
      </c>
      <c r="E219" s="3">
        <v>88</v>
      </c>
      <c r="F219" s="3">
        <v>163</v>
      </c>
      <c r="G219" s="3" t="s">
        <v>316</v>
      </c>
      <c r="H219" s="3" t="s">
        <v>321</v>
      </c>
      <c r="I219" s="7">
        <v>29689</v>
      </c>
    </row>
    <row r="220" spans="1:9" x14ac:dyDescent="0.3">
      <c r="A220" s="9" t="s">
        <v>318</v>
      </c>
      <c r="D220" s="3">
        <v>4606</v>
      </c>
      <c r="E220" s="3">
        <v>931</v>
      </c>
      <c r="F220" s="3">
        <v>230</v>
      </c>
      <c r="G220" s="3" t="s">
        <v>324</v>
      </c>
      <c r="H220" s="3" t="s">
        <v>329</v>
      </c>
      <c r="I220" s="7">
        <v>91440</v>
      </c>
    </row>
    <row r="221" spans="1:9" x14ac:dyDescent="0.3">
      <c r="A221" s="9" t="s">
        <v>318</v>
      </c>
      <c r="D221" s="3">
        <v>1869</v>
      </c>
      <c r="E221" s="3">
        <v>453</v>
      </c>
      <c r="F221" s="3">
        <v>490</v>
      </c>
      <c r="G221" s="3" t="s">
        <v>324</v>
      </c>
      <c r="H221" s="3" t="s">
        <v>326</v>
      </c>
      <c r="I221" s="7">
        <v>14309</v>
      </c>
    </row>
    <row r="222" spans="1:9" x14ac:dyDescent="0.3">
      <c r="A222" s="9" t="s">
        <v>318</v>
      </c>
      <c r="D222" s="3">
        <v>1188</v>
      </c>
      <c r="E222" s="3">
        <v>470</v>
      </c>
      <c r="F222" s="3">
        <v>174</v>
      </c>
      <c r="G222" s="3" t="s">
        <v>311</v>
      </c>
      <c r="H222" s="3" t="s">
        <v>313</v>
      </c>
      <c r="I222" s="7">
        <v>6145</v>
      </c>
    </row>
    <row r="223" spans="1:9" x14ac:dyDescent="0.3">
      <c r="A223" s="9" t="s">
        <v>322</v>
      </c>
      <c r="D223" s="3">
        <v>84</v>
      </c>
      <c r="E223" s="3">
        <v>897</v>
      </c>
      <c r="F223" s="3">
        <v>85</v>
      </c>
      <c r="G223" s="3" t="s">
        <v>319</v>
      </c>
      <c r="H223" s="3" t="s">
        <v>321</v>
      </c>
      <c r="I223" s="7">
        <v>8</v>
      </c>
    </row>
    <row r="224" spans="1:9" x14ac:dyDescent="0.3">
      <c r="A224" s="9" t="s">
        <v>318</v>
      </c>
      <c r="D224" s="3">
        <v>4453</v>
      </c>
      <c r="E224" s="3">
        <v>111</v>
      </c>
      <c r="F224" s="3">
        <v>420</v>
      </c>
      <c r="G224" s="3" t="s">
        <v>324</v>
      </c>
      <c r="H224" s="3" t="s">
        <v>338</v>
      </c>
      <c r="I224" s="7">
        <v>30565</v>
      </c>
    </row>
    <row r="225" spans="1:9" x14ac:dyDescent="0.3">
      <c r="A225" s="9" t="s">
        <v>333</v>
      </c>
      <c r="B225" t="s">
        <v>525</v>
      </c>
      <c r="D225" s="3">
        <v>1814</v>
      </c>
      <c r="E225" s="3">
        <v>653</v>
      </c>
      <c r="F225" s="3">
        <v>363</v>
      </c>
      <c r="G225" s="3" t="s">
        <v>324</v>
      </c>
      <c r="H225" s="3" t="s">
        <v>313</v>
      </c>
      <c r="I225" s="7">
        <v>25286</v>
      </c>
    </row>
    <row r="226" spans="1:9" x14ac:dyDescent="0.3">
      <c r="A226" s="9" t="s">
        <v>318</v>
      </c>
      <c r="D226" s="3">
        <v>3338</v>
      </c>
      <c r="E226" s="3">
        <v>277</v>
      </c>
      <c r="F226" s="3">
        <v>118</v>
      </c>
      <c r="G226" s="3" t="s">
        <v>311</v>
      </c>
      <c r="H226" s="3" t="s">
        <v>329</v>
      </c>
      <c r="I226" s="7">
        <v>59842</v>
      </c>
    </row>
    <row r="227" spans="1:9" x14ac:dyDescent="0.3">
      <c r="A227" s="9" t="s">
        <v>318</v>
      </c>
      <c r="D227" s="3">
        <v>602</v>
      </c>
      <c r="E227" s="3">
        <v>594</v>
      </c>
      <c r="F227" s="3">
        <v>156</v>
      </c>
      <c r="G227" s="3" t="s">
        <v>324</v>
      </c>
      <c r="H227" s="3" t="s">
        <v>329</v>
      </c>
      <c r="I227" s="7">
        <v>3363</v>
      </c>
    </row>
    <row r="228" spans="1:9" x14ac:dyDescent="0.3">
      <c r="A228" s="9" t="s">
        <v>322</v>
      </c>
      <c r="D228" s="3">
        <v>4672</v>
      </c>
      <c r="E228" s="3">
        <v>325</v>
      </c>
      <c r="F228" s="3">
        <v>32</v>
      </c>
      <c r="G228" s="3" t="s">
        <v>311</v>
      </c>
      <c r="H228" s="3" t="s">
        <v>326</v>
      </c>
      <c r="I228" s="7">
        <v>87833</v>
      </c>
    </row>
    <row r="229" spans="1:9" x14ac:dyDescent="0.3">
      <c r="A229" s="9" t="s">
        <v>318</v>
      </c>
      <c r="D229" s="3">
        <v>1741</v>
      </c>
      <c r="E229" s="3">
        <v>164</v>
      </c>
      <c r="F229" s="3">
        <v>318</v>
      </c>
      <c r="G229" s="3" t="s">
        <v>319</v>
      </c>
      <c r="H229" s="3" t="s">
        <v>326</v>
      </c>
      <c r="I229" s="7">
        <v>8272</v>
      </c>
    </row>
    <row r="230" spans="1:9" x14ac:dyDescent="0.3">
      <c r="A230" s="9" t="s">
        <v>333</v>
      </c>
      <c r="D230" s="3">
        <v>246</v>
      </c>
      <c r="E230" s="3">
        <v>149</v>
      </c>
      <c r="F230" s="3">
        <v>130</v>
      </c>
      <c r="G230" s="3" t="s">
        <v>319</v>
      </c>
      <c r="H230" s="3" t="s">
        <v>315</v>
      </c>
      <c r="I230" s="7">
        <v>4390</v>
      </c>
    </row>
    <row r="231" spans="1:9" x14ac:dyDescent="0.3">
      <c r="A231" s="9" t="s">
        <v>322</v>
      </c>
      <c r="D231" s="3">
        <v>4808</v>
      </c>
      <c r="E231" s="3">
        <v>772</v>
      </c>
      <c r="F231" s="3">
        <v>320</v>
      </c>
      <c r="G231" s="3" t="s">
        <v>319</v>
      </c>
      <c r="H231" s="3" t="s">
        <v>321</v>
      </c>
      <c r="I231" s="7">
        <v>71696</v>
      </c>
    </row>
    <row r="232" spans="1:9" x14ac:dyDescent="0.3">
      <c r="A232" s="9" t="s">
        <v>318</v>
      </c>
      <c r="D232" s="3">
        <v>4799</v>
      </c>
      <c r="E232" s="3">
        <v>694</v>
      </c>
      <c r="F232" s="3">
        <v>289</v>
      </c>
      <c r="G232" s="3" t="s">
        <v>319</v>
      </c>
      <c r="H232" s="3" t="s">
        <v>326</v>
      </c>
      <c r="I232" s="7">
        <v>42228</v>
      </c>
    </row>
    <row r="233" spans="1:9" x14ac:dyDescent="0.3">
      <c r="A233" s="9" t="s">
        <v>322</v>
      </c>
      <c r="D233" s="3">
        <v>3663</v>
      </c>
      <c r="E233" s="3">
        <v>17</v>
      </c>
      <c r="F233" s="3">
        <v>295</v>
      </c>
      <c r="G233" s="3" t="s">
        <v>324</v>
      </c>
      <c r="H233" s="3" t="s">
        <v>313</v>
      </c>
      <c r="I233" s="7">
        <v>50567</v>
      </c>
    </row>
    <row r="234" spans="1:9" x14ac:dyDescent="0.3">
      <c r="A234" s="9" t="s">
        <v>333</v>
      </c>
      <c r="D234" s="3">
        <v>1430</v>
      </c>
      <c r="E234" s="3">
        <v>376</v>
      </c>
      <c r="F234" s="3">
        <v>33</v>
      </c>
      <c r="G234" s="3" t="s">
        <v>319</v>
      </c>
      <c r="H234" s="3" t="s">
        <v>315</v>
      </c>
      <c r="I234" s="7">
        <v>20509</v>
      </c>
    </row>
    <row r="235" spans="1:9" x14ac:dyDescent="0.3">
      <c r="A235" s="9" t="s">
        <v>322</v>
      </c>
      <c r="D235" s="3">
        <v>249</v>
      </c>
      <c r="E235" s="3">
        <v>592</v>
      </c>
      <c r="F235" s="3">
        <v>230</v>
      </c>
      <c r="G235" s="3" t="s">
        <v>311</v>
      </c>
      <c r="H235" s="3" t="s">
        <v>321</v>
      </c>
      <c r="I235" s="7">
        <v>1044</v>
      </c>
    </row>
    <row r="236" spans="1:9" x14ac:dyDescent="0.3">
      <c r="A236" s="9" t="s">
        <v>333</v>
      </c>
      <c r="D236" s="3">
        <v>2382</v>
      </c>
      <c r="E236" s="3">
        <v>265</v>
      </c>
      <c r="F236" s="3">
        <v>134</v>
      </c>
      <c r="G236" s="3" t="s">
        <v>324</v>
      </c>
      <c r="H236" s="3" t="s">
        <v>329</v>
      </c>
      <c r="I236" s="7">
        <v>37437</v>
      </c>
    </row>
    <row r="237" spans="1:9" x14ac:dyDescent="0.3">
      <c r="A237" s="9" t="s">
        <v>318</v>
      </c>
      <c r="D237" s="3">
        <v>1272</v>
      </c>
      <c r="E237" s="3">
        <v>465</v>
      </c>
      <c r="F237" s="3">
        <v>99</v>
      </c>
      <c r="G237" s="3" t="s">
        <v>324</v>
      </c>
      <c r="H237" s="3" t="s">
        <v>315</v>
      </c>
      <c r="I237" s="7">
        <v>23719</v>
      </c>
    </row>
    <row r="238" spans="1:9" x14ac:dyDescent="0.3">
      <c r="A238" s="9" t="s">
        <v>318</v>
      </c>
      <c r="D238" s="3">
        <v>3196</v>
      </c>
      <c r="E238" s="3">
        <v>941</v>
      </c>
      <c r="F238" s="3">
        <v>376</v>
      </c>
      <c r="G238" s="3" t="s">
        <v>324</v>
      </c>
      <c r="H238" s="3" t="s">
        <v>329</v>
      </c>
      <c r="I238" s="7">
        <v>34444</v>
      </c>
    </row>
    <row r="239" spans="1:9" x14ac:dyDescent="0.3">
      <c r="A239" s="9" t="s">
        <v>333</v>
      </c>
      <c r="B239" t="s">
        <v>523</v>
      </c>
      <c r="C239" t="s">
        <v>322</v>
      </c>
      <c r="D239" s="3">
        <v>1257</v>
      </c>
      <c r="E239" s="3">
        <v>19</v>
      </c>
      <c r="F239" s="3">
        <v>351</v>
      </c>
      <c r="G239" s="3" t="s">
        <v>324</v>
      </c>
      <c r="H239" s="3" t="s">
        <v>315</v>
      </c>
      <c r="I239" s="7">
        <v>11660</v>
      </c>
    </row>
    <row r="240" spans="1:9" x14ac:dyDescent="0.3">
      <c r="A240" s="9" t="s">
        <v>333</v>
      </c>
      <c r="D240" s="3">
        <v>3770</v>
      </c>
      <c r="E240" s="3">
        <v>917</v>
      </c>
      <c r="F240" s="3">
        <v>129</v>
      </c>
      <c r="G240" s="3" t="s">
        <v>319</v>
      </c>
      <c r="H240" s="3" t="s">
        <v>321</v>
      </c>
      <c r="I240" s="7">
        <v>71322</v>
      </c>
    </row>
    <row r="241" spans="1:9" x14ac:dyDescent="0.3">
      <c r="A241" s="9" t="s">
        <v>333</v>
      </c>
      <c r="D241" s="3">
        <v>4725</v>
      </c>
      <c r="E241" s="3">
        <v>400</v>
      </c>
      <c r="F241" s="3">
        <v>362</v>
      </c>
      <c r="G241" s="3" t="s">
        <v>311</v>
      </c>
      <c r="H241" s="3" t="s">
        <v>315</v>
      </c>
      <c r="I241" s="7">
        <v>74927</v>
      </c>
    </row>
    <row r="242" spans="1:9" x14ac:dyDescent="0.3">
      <c r="A242" s="9" t="s">
        <v>333</v>
      </c>
      <c r="D242" s="3">
        <v>4188</v>
      </c>
      <c r="E242" s="3">
        <v>942</v>
      </c>
      <c r="F242" s="3">
        <v>118</v>
      </c>
      <c r="G242" s="3" t="s">
        <v>316</v>
      </c>
      <c r="H242" s="3" t="s">
        <v>315</v>
      </c>
      <c r="I242" s="7">
        <v>20471</v>
      </c>
    </row>
    <row r="243" spans="1:9" x14ac:dyDescent="0.3">
      <c r="A243" s="9" t="s">
        <v>322</v>
      </c>
      <c r="B243" t="s">
        <v>318</v>
      </c>
      <c r="C243" t="s">
        <v>523</v>
      </c>
      <c r="D243" s="3">
        <v>929</v>
      </c>
      <c r="E243" s="3">
        <v>192</v>
      </c>
      <c r="F243" s="3">
        <v>322</v>
      </c>
      <c r="G243" s="3" t="s">
        <v>311</v>
      </c>
      <c r="H243" s="3" t="s">
        <v>326</v>
      </c>
      <c r="I243" s="7">
        <v>15996</v>
      </c>
    </row>
    <row r="244" spans="1:9" x14ac:dyDescent="0.3">
      <c r="A244" s="9" t="s">
        <v>318</v>
      </c>
      <c r="D244" s="3">
        <v>4321</v>
      </c>
      <c r="E244" s="3">
        <v>874</v>
      </c>
      <c r="F244" s="3">
        <v>172</v>
      </c>
      <c r="G244" s="3" t="s">
        <v>324</v>
      </c>
      <c r="H244" s="3" t="s">
        <v>321</v>
      </c>
      <c r="I244" s="7">
        <v>29254</v>
      </c>
    </row>
    <row r="245" spans="1:9" x14ac:dyDescent="0.3">
      <c r="A245" s="9" t="s">
        <v>322</v>
      </c>
      <c r="D245" s="3">
        <v>4767</v>
      </c>
      <c r="E245" s="3">
        <v>190</v>
      </c>
      <c r="F245" s="3">
        <v>340</v>
      </c>
      <c r="G245" s="3" t="s">
        <v>324</v>
      </c>
      <c r="H245" s="3" t="s">
        <v>313</v>
      </c>
      <c r="I245" s="7">
        <v>28044</v>
      </c>
    </row>
    <row r="246" spans="1:9" x14ac:dyDescent="0.3">
      <c r="A246" s="9" t="s">
        <v>333</v>
      </c>
      <c r="D246" s="3">
        <v>3592</v>
      </c>
      <c r="E246" s="3">
        <v>911</v>
      </c>
      <c r="F246" s="3">
        <v>375</v>
      </c>
      <c r="G246" s="3" t="s">
        <v>311</v>
      </c>
      <c r="H246" s="3" t="s">
        <v>329</v>
      </c>
      <c r="I246" s="7">
        <v>49490</v>
      </c>
    </row>
    <row r="247" spans="1:9" x14ac:dyDescent="0.3">
      <c r="A247" s="9" t="s">
        <v>333</v>
      </c>
      <c r="D247" s="3">
        <v>4661</v>
      </c>
      <c r="E247" s="3">
        <v>935</v>
      </c>
      <c r="F247" s="3">
        <v>433</v>
      </c>
      <c r="G247" s="3" t="s">
        <v>316</v>
      </c>
      <c r="H247" s="3" t="s">
        <v>338</v>
      </c>
      <c r="I247" s="7">
        <v>22583</v>
      </c>
    </row>
    <row r="248" spans="1:9" x14ac:dyDescent="0.3">
      <c r="A248" s="9" t="s">
        <v>322</v>
      </c>
      <c r="D248" s="3">
        <v>4134</v>
      </c>
      <c r="E248" s="3">
        <v>824</v>
      </c>
      <c r="F248" s="3">
        <v>99</v>
      </c>
      <c r="G248" s="3" t="s">
        <v>324</v>
      </c>
      <c r="H248" s="3" t="s">
        <v>313</v>
      </c>
      <c r="I248" s="7">
        <v>41050</v>
      </c>
    </row>
    <row r="249" spans="1:9" x14ac:dyDescent="0.3">
      <c r="A249" s="9" t="s">
        <v>333</v>
      </c>
      <c r="D249" s="3">
        <v>400</v>
      </c>
      <c r="E249" s="3">
        <v>680</v>
      </c>
      <c r="F249" s="3">
        <v>434</v>
      </c>
      <c r="G249" s="3" t="s">
        <v>324</v>
      </c>
      <c r="H249" s="3" t="s">
        <v>329</v>
      </c>
      <c r="I249" s="7">
        <v>5472</v>
      </c>
    </row>
    <row r="250" spans="1:9" x14ac:dyDescent="0.3">
      <c r="A250" s="9" t="s">
        <v>333</v>
      </c>
      <c r="B250" t="s">
        <v>322</v>
      </c>
      <c r="C250" t="s">
        <v>524</v>
      </c>
      <c r="D250" s="3">
        <v>3960</v>
      </c>
      <c r="E250" s="3">
        <v>266</v>
      </c>
      <c r="F250" s="3">
        <v>8</v>
      </c>
      <c r="G250" s="3" t="s">
        <v>324</v>
      </c>
      <c r="H250" s="3" t="s">
        <v>313</v>
      </c>
      <c r="I250" s="7">
        <v>34850</v>
      </c>
    </row>
    <row r="251" spans="1:9" x14ac:dyDescent="0.3">
      <c r="A251" s="9" t="s">
        <v>322</v>
      </c>
      <c r="D251" s="3">
        <v>886</v>
      </c>
      <c r="E251" s="3">
        <v>126</v>
      </c>
      <c r="F251" s="3">
        <v>153</v>
      </c>
      <c r="G251" s="3" t="s">
        <v>324</v>
      </c>
      <c r="H251" s="3" t="s">
        <v>321</v>
      </c>
      <c r="I251" s="7">
        <v>4037</v>
      </c>
    </row>
    <row r="252" spans="1:9" x14ac:dyDescent="0.3">
      <c r="A252" s="9" t="s">
        <v>322</v>
      </c>
      <c r="D252" s="3">
        <v>827</v>
      </c>
      <c r="E252" s="3">
        <v>77</v>
      </c>
      <c r="F252" s="3">
        <v>402</v>
      </c>
      <c r="G252" s="3" t="s">
        <v>311</v>
      </c>
      <c r="H252" s="3" t="s">
        <v>329</v>
      </c>
      <c r="I252" s="7">
        <v>14129</v>
      </c>
    </row>
    <row r="253" spans="1:9" x14ac:dyDescent="0.3">
      <c r="A253" s="9" t="s">
        <v>333</v>
      </c>
      <c r="D253" s="3">
        <v>3813</v>
      </c>
      <c r="E253" s="3">
        <v>935</v>
      </c>
      <c r="F253" s="3">
        <v>274</v>
      </c>
      <c r="G253" s="3" t="s">
        <v>324</v>
      </c>
      <c r="H253" s="3" t="s">
        <v>313</v>
      </c>
      <c r="I253" s="7">
        <v>68488</v>
      </c>
    </row>
    <row r="254" spans="1:9" x14ac:dyDescent="0.3">
      <c r="A254" s="9" t="s">
        <v>333</v>
      </c>
      <c r="D254" s="3">
        <v>1377</v>
      </c>
      <c r="E254" s="3">
        <v>796</v>
      </c>
      <c r="F254" s="3">
        <v>387</v>
      </c>
      <c r="G254" s="3" t="s">
        <v>319</v>
      </c>
      <c r="H254" s="3" t="s">
        <v>326</v>
      </c>
      <c r="I254" s="7">
        <v>21869</v>
      </c>
    </row>
    <row r="255" spans="1:9" x14ac:dyDescent="0.3">
      <c r="A255" s="9" t="s">
        <v>333</v>
      </c>
      <c r="D255" s="3">
        <v>2089</v>
      </c>
      <c r="E255" s="3">
        <v>476</v>
      </c>
      <c r="F255" s="3">
        <v>69</v>
      </c>
      <c r="G255" s="3" t="s">
        <v>324</v>
      </c>
      <c r="H255" s="3" t="s">
        <v>326</v>
      </c>
      <c r="I255" s="7">
        <v>16309</v>
      </c>
    </row>
    <row r="256" spans="1:9" x14ac:dyDescent="0.3">
      <c r="A256" s="9" t="s">
        <v>322</v>
      </c>
      <c r="D256" s="3">
        <v>3791</v>
      </c>
      <c r="E256" s="3">
        <v>593</v>
      </c>
      <c r="F256" s="3">
        <v>228</v>
      </c>
      <c r="G256" s="3" t="s">
        <v>311</v>
      </c>
      <c r="H256" s="3" t="s">
        <v>313</v>
      </c>
      <c r="I256" s="7">
        <v>52613</v>
      </c>
    </row>
    <row r="257" spans="1:9" x14ac:dyDescent="0.3">
      <c r="A257" s="9" t="s">
        <v>333</v>
      </c>
      <c r="D257" s="3">
        <v>2692</v>
      </c>
      <c r="E257" s="3">
        <v>115</v>
      </c>
      <c r="F257" s="3">
        <v>64</v>
      </c>
      <c r="G257" s="3" t="s">
        <v>311</v>
      </c>
      <c r="H257" s="3" t="s">
        <v>329</v>
      </c>
      <c r="I257" s="7">
        <v>21120</v>
      </c>
    </row>
    <row r="258" spans="1:9" x14ac:dyDescent="0.3">
      <c r="A258" s="9" t="s">
        <v>333</v>
      </c>
      <c r="D258" s="3">
        <v>3767</v>
      </c>
      <c r="E258" s="3">
        <v>514</v>
      </c>
      <c r="F258" s="3">
        <v>238</v>
      </c>
      <c r="G258" s="3" t="s">
        <v>324</v>
      </c>
      <c r="H258" s="3" t="s">
        <v>321</v>
      </c>
      <c r="I258" s="7">
        <v>36807</v>
      </c>
    </row>
    <row r="259" spans="1:9" x14ac:dyDescent="0.3">
      <c r="A259" s="9" t="s">
        <v>322</v>
      </c>
      <c r="D259" s="3">
        <v>2143</v>
      </c>
      <c r="E259" s="3">
        <v>12</v>
      </c>
      <c r="F259" s="3">
        <v>204</v>
      </c>
      <c r="G259" s="3" t="s">
        <v>316</v>
      </c>
      <c r="H259" s="3" t="s">
        <v>326</v>
      </c>
      <c r="I259" s="7">
        <v>40125</v>
      </c>
    </row>
    <row r="260" spans="1:9" x14ac:dyDescent="0.3">
      <c r="A260" s="9" t="s">
        <v>322</v>
      </c>
      <c r="B260" t="s">
        <v>322</v>
      </c>
      <c r="C260" t="s">
        <v>524</v>
      </c>
      <c r="D260" s="3">
        <v>3090</v>
      </c>
      <c r="E260" s="3">
        <v>697</v>
      </c>
      <c r="F260" s="3">
        <v>164</v>
      </c>
      <c r="G260" s="3" t="s">
        <v>324</v>
      </c>
      <c r="H260" s="3" t="s">
        <v>329</v>
      </c>
      <c r="I260" s="7">
        <v>48524</v>
      </c>
    </row>
    <row r="261" spans="1:9" x14ac:dyDescent="0.3">
      <c r="A261" s="9" t="s">
        <v>322</v>
      </c>
      <c r="D261" s="3">
        <v>3601</v>
      </c>
      <c r="E261" s="3">
        <v>695</v>
      </c>
      <c r="F261" s="3">
        <v>75</v>
      </c>
      <c r="G261" s="3" t="s">
        <v>319</v>
      </c>
      <c r="H261" s="3" t="s">
        <v>321</v>
      </c>
      <c r="I261" s="7">
        <v>21454</v>
      </c>
    </row>
    <row r="262" spans="1:9" x14ac:dyDescent="0.3">
      <c r="A262" s="9" t="s">
        <v>318</v>
      </c>
      <c r="D262" s="3">
        <v>562</v>
      </c>
      <c r="E262" s="3">
        <v>158</v>
      </c>
      <c r="F262" s="3">
        <v>149</v>
      </c>
      <c r="G262" s="3" t="s">
        <v>324</v>
      </c>
      <c r="H262" s="3" t="s">
        <v>315</v>
      </c>
      <c r="I262" s="7">
        <v>2940</v>
      </c>
    </row>
    <row r="263" spans="1:9" x14ac:dyDescent="0.3">
      <c r="A263" s="9" t="s">
        <v>318</v>
      </c>
      <c r="B263" t="s">
        <v>322</v>
      </c>
      <c r="C263" t="s">
        <v>524</v>
      </c>
      <c r="D263" s="3">
        <v>4332</v>
      </c>
      <c r="E263" s="3">
        <v>771</v>
      </c>
      <c r="F263" s="3">
        <v>219</v>
      </c>
      <c r="G263" s="3" t="s">
        <v>319</v>
      </c>
      <c r="H263" s="3" t="s">
        <v>321</v>
      </c>
      <c r="I263" s="7">
        <v>60397</v>
      </c>
    </row>
    <row r="264" spans="1:9" x14ac:dyDescent="0.3">
      <c r="A264" s="9" t="s">
        <v>322</v>
      </c>
      <c r="D264" s="3">
        <v>4853</v>
      </c>
      <c r="E264" s="3">
        <v>837</v>
      </c>
      <c r="F264" s="3">
        <v>340</v>
      </c>
      <c r="G264" s="3" t="s">
        <v>319</v>
      </c>
      <c r="H264" s="3" t="s">
        <v>329</v>
      </c>
      <c r="I264" s="7">
        <v>72237</v>
      </c>
    </row>
    <row r="265" spans="1:9" x14ac:dyDescent="0.3">
      <c r="A265" s="9" t="s">
        <v>318</v>
      </c>
      <c r="D265" s="3">
        <v>1206</v>
      </c>
      <c r="E265" s="3">
        <v>238</v>
      </c>
      <c r="F265" s="3">
        <v>36</v>
      </c>
      <c r="G265" s="3" t="s">
        <v>316</v>
      </c>
      <c r="H265" s="3" t="s">
        <v>329</v>
      </c>
      <c r="I265" s="7">
        <v>9417</v>
      </c>
    </row>
    <row r="266" spans="1:9" x14ac:dyDescent="0.3">
      <c r="A266" s="9" t="s">
        <v>333</v>
      </c>
      <c r="D266" s="3">
        <v>2603</v>
      </c>
      <c r="E266" s="3">
        <v>690</v>
      </c>
      <c r="F266" s="3">
        <v>205</v>
      </c>
      <c r="G266" s="3" t="s">
        <v>319</v>
      </c>
      <c r="H266" s="3" t="s">
        <v>313</v>
      </c>
      <c r="I266" s="7">
        <v>12130</v>
      </c>
    </row>
    <row r="267" spans="1:9" x14ac:dyDescent="0.3">
      <c r="A267" s="9" t="s">
        <v>318</v>
      </c>
      <c r="D267" s="3">
        <v>59</v>
      </c>
      <c r="E267" s="3">
        <v>163</v>
      </c>
      <c r="F267" s="3">
        <v>93</v>
      </c>
      <c r="G267" s="3" t="s">
        <v>311</v>
      </c>
      <c r="H267" s="3" t="s">
        <v>329</v>
      </c>
      <c r="I267" s="7">
        <v>475</v>
      </c>
    </row>
    <row r="268" spans="1:9" x14ac:dyDescent="0.3">
      <c r="A268" s="9" t="s">
        <v>322</v>
      </c>
      <c r="D268" s="3">
        <v>1877</v>
      </c>
      <c r="E268" s="3">
        <v>745</v>
      </c>
      <c r="F268" s="3">
        <v>225</v>
      </c>
      <c r="G268" s="3" t="s">
        <v>311</v>
      </c>
      <c r="H268" s="3" t="s">
        <v>326</v>
      </c>
      <c r="I268" s="7">
        <v>10967</v>
      </c>
    </row>
    <row r="269" spans="1:9" x14ac:dyDescent="0.3">
      <c r="A269" s="9" t="s">
        <v>318</v>
      </c>
      <c r="D269" s="3">
        <v>4182</v>
      </c>
      <c r="E269" s="3">
        <v>640</v>
      </c>
      <c r="F269" s="3">
        <v>240</v>
      </c>
      <c r="G269" s="3" t="s">
        <v>324</v>
      </c>
      <c r="H269" s="3" t="s">
        <v>321</v>
      </c>
      <c r="I269" s="7">
        <v>49351</v>
      </c>
    </row>
    <row r="270" spans="1:9" x14ac:dyDescent="0.3">
      <c r="A270" s="9" t="s">
        <v>333</v>
      </c>
      <c r="D270" s="3">
        <v>4187</v>
      </c>
      <c r="E270" s="3">
        <v>66</v>
      </c>
      <c r="F270" s="3">
        <v>31</v>
      </c>
      <c r="G270" s="3" t="s">
        <v>311</v>
      </c>
      <c r="H270" s="3" t="s">
        <v>313</v>
      </c>
      <c r="I270" s="7">
        <v>66614</v>
      </c>
    </row>
    <row r="271" spans="1:9" x14ac:dyDescent="0.3">
      <c r="A271" s="9" t="s">
        <v>322</v>
      </c>
      <c r="D271" s="3">
        <v>4579</v>
      </c>
      <c r="E271" s="3">
        <v>125</v>
      </c>
      <c r="F271" s="3">
        <v>300</v>
      </c>
      <c r="G271" s="3" t="s">
        <v>319</v>
      </c>
      <c r="H271" s="3" t="s">
        <v>313</v>
      </c>
      <c r="I271" s="7">
        <v>59400</v>
      </c>
    </row>
    <row r="272" spans="1:9" x14ac:dyDescent="0.3">
      <c r="A272" s="9" t="s">
        <v>318</v>
      </c>
      <c r="D272" s="3">
        <v>4561</v>
      </c>
      <c r="E272" s="3">
        <v>51</v>
      </c>
      <c r="F272" s="3">
        <v>441</v>
      </c>
      <c r="G272" s="3" t="s">
        <v>319</v>
      </c>
      <c r="H272" s="3" t="s">
        <v>338</v>
      </c>
      <c r="I272" s="7">
        <v>21890</v>
      </c>
    </row>
    <row r="273" spans="1:9" x14ac:dyDescent="0.3">
      <c r="A273" s="9" t="s">
        <v>318</v>
      </c>
      <c r="D273" s="3">
        <v>3774</v>
      </c>
      <c r="E273" s="3">
        <v>239</v>
      </c>
      <c r="F273" s="3">
        <v>39</v>
      </c>
      <c r="G273" s="3" t="s">
        <v>316</v>
      </c>
      <c r="H273" s="3" t="s">
        <v>313</v>
      </c>
      <c r="I273" s="7">
        <v>59490</v>
      </c>
    </row>
    <row r="274" spans="1:9" x14ac:dyDescent="0.3">
      <c r="A274" s="9" t="s">
        <v>322</v>
      </c>
      <c r="D274" s="3">
        <v>3575</v>
      </c>
      <c r="E274" s="3">
        <v>749</v>
      </c>
      <c r="F274" s="3">
        <v>111</v>
      </c>
      <c r="G274" s="3" t="s">
        <v>319</v>
      </c>
      <c r="H274" s="3" t="s">
        <v>338</v>
      </c>
      <c r="I274" s="7">
        <v>20785</v>
      </c>
    </row>
    <row r="275" spans="1:9" x14ac:dyDescent="0.3">
      <c r="A275" s="9" t="s">
        <v>318</v>
      </c>
      <c r="D275" s="3">
        <v>4941</v>
      </c>
      <c r="E275" s="3">
        <v>414</v>
      </c>
      <c r="F275" s="3">
        <v>266</v>
      </c>
      <c r="G275" s="3" t="s">
        <v>319</v>
      </c>
      <c r="H275" s="3" t="s">
        <v>315</v>
      </c>
      <c r="I275" s="7">
        <v>39154</v>
      </c>
    </row>
    <row r="276" spans="1:9" x14ac:dyDescent="0.3">
      <c r="A276" s="9" t="s">
        <v>322</v>
      </c>
      <c r="D276" s="3">
        <v>3641</v>
      </c>
      <c r="E276" s="3">
        <v>226</v>
      </c>
      <c r="F276" s="3">
        <v>46</v>
      </c>
      <c r="G276" s="3" t="s">
        <v>316</v>
      </c>
      <c r="H276" s="3" t="s">
        <v>321</v>
      </c>
      <c r="I276" s="7">
        <v>39319</v>
      </c>
    </row>
    <row r="277" spans="1:9" x14ac:dyDescent="0.3">
      <c r="A277" s="9" t="s">
        <v>318</v>
      </c>
      <c r="D277" s="3">
        <v>3535</v>
      </c>
      <c r="E277" s="3">
        <v>494</v>
      </c>
      <c r="F277" s="3">
        <v>152</v>
      </c>
      <c r="G277" s="3" t="s">
        <v>311</v>
      </c>
      <c r="H277" s="3" t="s">
        <v>326</v>
      </c>
      <c r="I277" s="7">
        <v>52791</v>
      </c>
    </row>
    <row r="278" spans="1:9" x14ac:dyDescent="0.3">
      <c r="A278" s="9" t="s">
        <v>322</v>
      </c>
      <c r="D278" s="3">
        <v>1741</v>
      </c>
      <c r="E278" s="3">
        <v>831</v>
      </c>
      <c r="F278" s="3">
        <v>345</v>
      </c>
      <c r="G278" s="3" t="s">
        <v>324</v>
      </c>
      <c r="H278" s="3" t="s">
        <v>313</v>
      </c>
      <c r="I278" s="7">
        <v>16844</v>
      </c>
    </row>
    <row r="279" spans="1:9" x14ac:dyDescent="0.3">
      <c r="A279" s="9" t="s">
        <v>318</v>
      </c>
      <c r="D279" s="3">
        <v>1556</v>
      </c>
      <c r="E279" s="3">
        <v>195</v>
      </c>
      <c r="F279" s="3">
        <v>131</v>
      </c>
      <c r="G279" s="3" t="s">
        <v>311</v>
      </c>
      <c r="H279" s="3" t="s">
        <v>326</v>
      </c>
      <c r="I279" s="7">
        <v>8875</v>
      </c>
    </row>
    <row r="280" spans="1:9" x14ac:dyDescent="0.3">
      <c r="A280" s="9" t="s">
        <v>333</v>
      </c>
      <c r="D280" s="3">
        <v>4236</v>
      </c>
      <c r="E280" s="3">
        <v>711</v>
      </c>
      <c r="F280" s="3">
        <v>298</v>
      </c>
      <c r="G280" s="3" t="s">
        <v>324</v>
      </c>
      <c r="H280" s="3" t="s">
        <v>329</v>
      </c>
      <c r="I280" s="7">
        <v>20516</v>
      </c>
    </row>
    <row r="281" spans="1:9" x14ac:dyDescent="0.3">
      <c r="A281" s="9" t="s">
        <v>322</v>
      </c>
      <c r="D281" s="3">
        <v>4516</v>
      </c>
      <c r="E281" s="3">
        <v>836</v>
      </c>
      <c r="F281" s="3">
        <v>169</v>
      </c>
      <c r="G281" s="3" t="s">
        <v>311</v>
      </c>
      <c r="H281" s="3" t="s">
        <v>315</v>
      </c>
      <c r="I281" s="7">
        <v>49257</v>
      </c>
    </row>
    <row r="282" spans="1:9" x14ac:dyDescent="0.3">
      <c r="A282" s="9" t="s">
        <v>318</v>
      </c>
      <c r="D282" s="3">
        <v>4905</v>
      </c>
      <c r="E282" s="3">
        <v>845</v>
      </c>
      <c r="F282" s="3">
        <v>129</v>
      </c>
      <c r="G282" s="3" t="s">
        <v>316</v>
      </c>
      <c r="H282" s="3" t="s">
        <v>329</v>
      </c>
      <c r="I282" s="7">
        <v>97772</v>
      </c>
    </row>
    <row r="283" spans="1:9" x14ac:dyDescent="0.3">
      <c r="A283" s="9" t="s">
        <v>322</v>
      </c>
      <c r="B283" t="s">
        <v>318</v>
      </c>
      <c r="C283" t="s">
        <v>523</v>
      </c>
      <c r="D283" s="3">
        <v>4275</v>
      </c>
      <c r="E283" s="3">
        <v>680</v>
      </c>
      <c r="F283" s="3">
        <v>385</v>
      </c>
      <c r="G283" s="3" t="s">
        <v>316</v>
      </c>
      <c r="H283" s="3" t="s">
        <v>338</v>
      </c>
      <c r="I283" s="7">
        <v>63650</v>
      </c>
    </row>
    <row r="284" spans="1:9" x14ac:dyDescent="0.3">
      <c r="A284" s="9" t="s">
        <v>322</v>
      </c>
      <c r="D284" s="3">
        <v>3166</v>
      </c>
      <c r="E284" s="3">
        <v>90</v>
      </c>
      <c r="F284" s="3">
        <v>341</v>
      </c>
      <c r="G284" s="3" t="s">
        <v>316</v>
      </c>
      <c r="H284" s="3" t="s">
        <v>329</v>
      </c>
      <c r="I284" s="7">
        <v>56125</v>
      </c>
    </row>
    <row r="285" spans="1:9" x14ac:dyDescent="0.3">
      <c r="A285" s="9" t="s">
        <v>333</v>
      </c>
      <c r="D285" s="3">
        <v>1488</v>
      </c>
      <c r="E285" s="3">
        <v>417</v>
      </c>
      <c r="F285" s="3">
        <v>168</v>
      </c>
      <c r="G285" s="3" t="s">
        <v>319</v>
      </c>
      <c r="H285" s="3" t="s">
        <v>338</v>
      </c>
      <c r="I285" s="7">
        <v>18395</v>
      </c>
    </row>
    <row r="286" spans="1:9" x14ac:dyDescent="0.3">
      <c r="A286" s="9" t="s">
        <v>333</v>
      </c>
      <c r="D286" s="3">
        <v>3367</v>
      </c>
      <c r="E286" s="3">
        <v>302</v>
      </c>
      <c r="F286" s="3">
        <v>57</v>
      </c>
      <c r="G286" s="3" t="s">
        <v>311</v>
      </c>
      <c r="H286" s="3" t="s">
        <v>313</v>
      </c>
      <c r="I286" s="7">
        <v>63789</v>
      </c>
    </row>
    <row r="287" spans="1:9" x14ac:dyDescent="0.3">
      <c r="A287" s="9" t="s">
        <v>318</v>
      </c>
      <c r="D287" s="3">
        <v>571</v>
      </c>
      <c r="E287" s="3">
        <v>190</v>
      </c>
      <c r="F287" s="3">
        <v>352</v>
      </c>
      <c r="G287" s="3" t="s">
        <v>311</v>
      </c>
      <c r="H287" s="3" t="s">
        <v>315</v>
      </c>
      <c r="I287" s="7">
        <v>9418</v>
      </c>
    </row>
    <row r="288" spans="1:9" x14ac:dyDescent="0.3">
      <c r="A288" s="9" t="s">
        <v>322</v>
      </c>
      <c r="D288" s="3">
        <v>4021</v>
      </c>
      <c r="E288" s="3">
        <v>794</v>
      </c>
      <c r="F288" s="3">
        <v>77</v>
      </c>
      <c r="G288" s="3" t="s">
        <v>316</v>
      </c>
      <c r="H288" s="3" t="s">
        <v>315</v>
      </c>
      <c r="I288" s="7">
        <v>35505</v>
      </c>
    </row>
    <row r="289" spans="1:9" x14ac:dyDescent="0.3">
      <c r="A289" s="9" t="s">
        <v>333</v>
      </c>
      <c r="D289" s="3">
        <v>3389</v>
      </c>
      <c r="E289" s="3">
        <v>344</v>
      </c>
      <c r="F289" s="3">
        <v>229</v>
      </c>
      <c r="G289" s="3" t="s">
        <v>316</v>
      </c>
      <c r="H289" s="3" t="s">
        <v>338</v>
      </c>
      <c r="I289" s="7">
        <v>19443</v>
      </c>
    </row>
    <row r="290" spans="1:9" x14ac:dyDescent="0.3">
      <c r="A290" s="9" t="s">
        <v>322</v>
      </c>
      <c r="D290" s="3">
        <v>1164</v>
      </c>
      <c r="E290" s="3">
        <v>616</v>
      </c>
      <c r="F290" s="3">
        <v>324</v>
      </c>
      <c r="G290" s="3" t="s">
        <v>319</v>
      </c>
      <c r="H290" s="3" t="s">
        <v>313</v>
      </c>
      <c r="I290" s="7">
        <v>6636</v>
      </c>
    </row>
    <row r="291" spans="1:9" x14ac:dyDescent="0.3">
      <c r="A291" s="9" t="s">
        <v>333</v>
      </c>
      <c r="D291" s="3">
        <v>4780</v>
      </c>
      <c r="E291" s="3">
        <v>691</v>
      </c>
      <c r="F291" s="3">
        <v>380</v>
      </c>
      <c r="G291" s="3" t="s">
        <v>316</v>
      </c>
      <c r="H291" s="3" t="s">
        <v>326</v>
      </c>
      <c r="I291" s="7">
        <v>85743</v>
      </c>
    </row>
    <row r="292" spans="1:9" x14ac:dyDescent="0.3">
      <c r="A292" s="9" t="s">
        <v>333</v>
      </c>
      <c r="D292" s="3">
        <v>2751</v>
      </c>
      <c r="E292" s="3">
        <v>33</v>
      </c>
      <c r="F292" s="3">
        <v>430</v>
      </c>
      <c r="G292" s="3" t="s">
        <v>324</v>
      </c>
      <c r="H292" s="3" t="s">
        <v>326</v>
      </c>
      <c r="I292" s="7">
        <v>43415</v>
      </c>
    </row>
    <row r="293" spans="1:9" x14ac:dyDescent="0.3">
      <c r="A293" s="9" t="s">
        <v>322</v>
      </c>
      <c r="D293" s="3">
        <v>2107</v>
      </c>
      <c r="E293" s="3">
        <v>550</v>
      </c>
      <c r="F293" s="3">
        <v>349</v>
      </c>
      <c r="G293" s="3" t="s">
        <v>319</v>
      </c>
      <c r="H293" s="3" t="s">
        <v>326</v>
      </c>
      <c r="I293" s="7">
        <v>35340</v>
      </c>
    </row>
    <row r="294" spans="1:9" x14ac:dyDescent="0.3">
      <c r="A294" s="9" t="s">
        <v>322</v>
      </c>
      <c r="D294" s="3">
        <v>4663</v>
      </c>
      <c r="E294" s="3">
        <v>145</v>
      </c>
      <c r="F294" s="3">
        <v>225</v>
      </c>
      <c r="G294" s="3" t="s">
        <v>324</v>
      </c>
      <c r="H294" s="3" t="s">
        <v>338</v>
      </c>
      <c r="I294" s="7">
        <v>69596</v>
      </c>
    </row>
    <row r="295" spans="1:9" x14ac:dyDescent="0.3">
      <c r="A295" s="9" t="s">
        <v>318</v>
      </c>
      <c r="B295" t="s">
        <v>523</v>
      </c>
      <c r="D295" s="3">
        <v>880</v>
      </c>
      <c r="E295" s="3">
        <v>297</v>
      </c>
      <c r="F295" s="3">
        <v>345</v>
      </c>
      <c r="G295" s="3" t="s">
        <v>324</v>
      </c>
      <c r="H295" s="3" t="s">
        <v>315</v>
      </c>
      <c r="I295" s="7">
        <v>11978</v>
      </c>
    </row>
    <row r="296" spans="1:9" x14ac:dyDescent="0.3">
      <c r="A296" s="9" t="s">
        <v>322</v>
      </c>
      <c r="D296" s="3">
        <v>2634</v>
      </c>
      <c r="E296" s="3">
        <v>726</v>
      </c>
      <c r="F296" s="3">
        <v>241</v>
      </c>
      <c r="G296" s="3" t="s">
        <v>324</v>
      </c>
      <c r="H296" s="3" t="s">
        <v>315</v>
      </c>
      <c r="I296" s="7">
        <v>28102</v>
      </c>
    </row>
    <row r="297" spans="1:9" x14ac:dyDescent="0.3">
      <c r="A297" s="9" t="s">
        <v>322</v>
      </c>
      <c r="D297" s="3">
        <v>4731</v>
      </c>
      <c r="E297" s="3">
        <v>173</v>
      </c>
      <c r="F297" s="3">
        <v>276</v>
      </c>
      <c r="G297" s="3" t="s">
        <v>324</v>
      </c>
      <c r="H297" s="3" t="s">
        <v>326</v>
      </c>
      <c r="I297" s="7">
        <v>28185</v>
      </c>
    </row>
    <row r="298" spans="1:9" x14ac:dyDescent="0.3">
      <c r="A298" s="9" t="s">
        <v>333</v>
      </c>
      <c r="B298" t="s">
        <v>318</v>
      </c>
      <c r="C298" t="s">
        <v>523</v>
      </c>
      <c r="D298" s="3">
        <v>1952</v>
      </c>
      <c r="E298" s="3">
        <v>344</v>
      </c>
      <c r="F298" s="3">
        <v>287</v>
      </c>
      <c r="G298" s="3" t="s">
        <v>311</v>
      </c>
      <c r="H298" s="3" t="s">
        <v>329</v>
      </c>
      <c r="I298" s="7">
        <v>15403</v>
      </c>
    </row>
    <row r="299" spans="1:9" x14ac:dyDescent="0.3">
      <c r="A299" s="9" t="s">
        <v>318</v>
      </c>
      <c r="B299" t="s">
        <v>525</v>
      </c>
      <c r="D299" s="3">
        <v>3440</v>
      </c>
      <c r="E299" s="3">
        <v>13</v>
      </c>
      <c r="F299" s="3">
        <v>20</v>
      </c>
      <c r="G299" s="3" t="s">
        <v>311</v>
      </c>
      <c r="H299" s="3" t="s">
        <v>338</v>
      </c>
      <c r="I299" s="7">
        <v>58146</v>
      </c>
    </row>
    <row r="300" spans="1:9" x14ac:dyDescent="0.3">
      <c r="A300" s="9" t="s">
        <v>322</v>
      </c>
      <c r="D300" s="3">
        <v>2166</v>
      </c>
      <c r="E300" s="3">
        <v>354</v>
      </c>
      <c r="F300" s="3">
        <v>117</v>
      </c>
      <c r="G300" s="3" t="s">
        <v>311</v>
      </c>
      <c r="H300" s="3" t="s">
        <v>315</v>
      </c>
      <c r="I300" s="7">
        <v>10245</v>
      </c>
    </row>
    <row r="301" spans="1:9" x14ac:dyDescent="0.3">
      <c r="A301" s="9" t="s">
        <v>318</v>
      </c>
      <c r="D301" s="3">
        <v>4303</v>
      </c>
      <c r="E301" s="3">
        <v>451</v>
      </c>
      <c r="F301" s="3">
        <v>286</v>
      </c>
      <c r="G301" s="3" t="s">
        <v>324</v>
      </c>
      <c r="H301" s="3" t="s">
        <v>329</v>
      </c>
      <c r="I301" s="7">
        <v>85823</v>
      </c>
    </row>
    <row r="302" spans="1:9" x14ac:dyDescent="0.3">
      <c r="A302" s="9" t="s">
        <v>333</v>
      </c>
      <c r="D302" s="3">
        <v>2581</v>
      </c>
      <c r="E302" s="3">
        <v>517</v>
      </c>
      <c r="F302" s="3">
        <v>117</v>
      </c>
      <c r="G302" s="3" t="s">
        <v>324</v>
      </c>
      <c r="H302" s="3" t="s">
        <v>329</v>
      </c>
      <c r="I302" s="7">
        <v>22331</v>
      </c>
    </row>
    <row r="303" spans="1:9" x14ac:dyDescent="0.3">
      <c r="A303" s="9" t="s">
        <v>318</v>
      </c>
      <c r="B303" t="s">
        <v>322</v>
      </c>
      <c r="C303" t="s">
        <v>524</v>
      </c>
      <c r="D303" s="3">
        <v>4494</v>
      </c>
      <c r="E303" s="3">
        <v>717</v>
      </c>
      <c r="F303" s="3">
        <v>45</v>
      </c>
      <c r="G303" s="3" t="s">
        <v>311</v>
      </c>
      <c r="H303" s="3" t="s">
        <v>326</v>
      </c>
      <c r="I303" s="7">
        <v>62688</v>
      </c>
    </row>
  </sheetData>
  <dataValidations count="1">
    <dataValidation allowBlank="1" showInputMessage="1" showErrorMessage="1" prompt="Split hashtags into individual tags" sqref="A4:B303 C4:C7 C26:C303" xr:uid="{91730F81-7168-43C1-9023-D2FD9D4767AF}"/>
  </dataValidations>
  <pageMargins left="0.7" right="0.7" top="0.75" bottom="0.75" header="0.3" footer="0.3"/>
  <drawing r:id="rId4"/>
  <tableParts count="1"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9D08A-6CC9-4C2F-810E-BB5DC0BA9781}">
  <dimension ref="A1:I303"/>
  <sheetViews>
    <sheetView topLeftCell="A4" workbookViewId="0">
      <selection activeCell="F4" sqref="F4"/>
    </sheetView>
  </sheetViews>
  <sheetFormatPr defaultRowHeight="14.4" x14ac:dyDescent="0.3"/>
  <cols>
    <col min="1" max="1" width="19.33203125" customWidth="1"/>
    <col min="3" max="3" width="12.88671875" customWidth="1"/>
    <col min="6" max="7" width="14.77734375" bestFit="1" customWidth="1"/>
    <col min="8" max="8" width="20.77734375" bestFit="1" customWidth="1"/>
    <col min="9" max="9" width="15.33203125" bestFit="1" customWidth="1"/>
  </cols>
  <sheetData>
    <row r="1" spans="1:9" ht="18" x14ac:dyDescent="0.35">
      <c r="E1" s="1" t="s">
        <v>560</v>
      </c>
    </row>
    <row r="3" spans="1:9" x14ac:dyDescent="0.3">
      <c r="A3" s="31" t="s">
        <v>561</v>
      </c>
      <c r="B3" s="32" t="s">
        <v>304</v>
      </c>
      <c r="C3" s="31" t="s">
        <v>307</v>
      </c>
      <c r="D3" s="32" t="s">
        <v>309</v>
      </c>
    </row>
    <row r="4" spans="1:9" ht="18" x14ac:dyDescent="0.35">
      <c r="A4" s="30" t="s">
        <v>562</v>
      </c>
      <c r="B4" s="7">
        <v>1461</v>
      </c>
      <c r="C4" s="7">
        <v>21915</v>
      </c>
      <c r="D4" s="7">
        <v>15</v>
      </c>
      <c r="F4" s="1" t="s">
        <v>602</v>
      </c>
    </row>
    <row r="5" spans="1:9" x14ac:dyDescent="0.3">
      <c r="A5" s="30" t="s">
        <v>563</v>
      </c>
      <c r="B5" s="7">
        <v>4054</v>
      </c>
      <c r="C5" s="7">
        <v>64864</v>
      </c>
      <c r="D5" s="7">
        <v>117</v>
      </c>
    </row>
    <row r="6" spans="1:9" x14ac:dyDescent="0.3">
      <c r="A6" s="30" t="s">
        <v>564</v>
      </c>
      <c r="B6" s="7">
        <v>2795</v>
      </c>
      <c r="C6" s="7">
        <v>53105</v>
      </c>
      <c r="D6" s="7">
        <v>204</v>
      </c>
    </row>
    <row r="7" spans="1:9" x14ac:dyDescent="0.3">
      <c r="A7" s="30" t="s">
        <v>565</v>
      </c>
      <c r="B7" s="7">
        <v>2404</v>
      </c>
      <c r="C7" s="7">
        <v>19232</v>
      </c>
      <c r="D7" s="7">
        <v>128</v>
      </c>
      <c r="F7" s="11" t="s">
        <v>533</v>
      </c>
      <c r="G7" t="s">
        <v>537</v>
      </c>
      <c r="H7" t="s">
        <v>534</v>
      </c>
      <c r="I7" t="s">
        <v>540</v>
      </c>
    </row>
    <row r="8" spans="1:9" x14ac:dyDescent="0.3">
      <c r="A8" s="30" t="s">
        <v>562</v>
      </c>
      <c r="B8" s="7">
        <v>3557</v>
      </c>
      <c r="C8" s="7">
        <v>71140</v>
      </c>
      <c r="D8" s="7">
        <v>224</v>
      </c>
      <c r="F8" s="12" t="s">
        <v>565</v>
      </c>
      <c r="G8" s="64">
        <v>2464864</v>
      </c>
      <c r="H8" s="64">
        <v>187909</v>
      </c>
      <c r="I8" s="64">
        <v>10689</v>
      </c>
    </row>
    <row r="9" spans="1:9" x14ac:dyDescent="0.3">
      <c r="A9" s="30" t="s">
        <v>563</v>
      </c>
      <c r="B9" s="7">
        <v>2945</v>
      </c>
      <c r="C9" s="7">
        <v>23560</v>
      </c>
      <c r="D9" s="7">
        <v>256</v>
      </c>
      <c r="F9" s="12" t="s">
        <v>563</v>
      </c>
      <c r="G9" s="64">
        <v>1986356</v>
      </c>
      <c r="H9" s="64">
        <v>159783</v>
      </c>
      <c r="I9" s="64">
        <v>9872</v>
      </c>
    </row>
    <row r="10" spans="1:9" x14ac:dyDescent="0.3">
      <c r="A10" s="30" t="s">
        <v>563</v>
      </c>
      <c r="B10" s="7">
        <v>3860</v>
      </c>
      <c r="C10" s="7">
        <v>61760</v>
      </c>
      <c r="D10" s="7">
        <v>235</v>
      </c>
      <c r="F10" s="12" t="s">
        <v>564</v>
      </c>
      <c r="G10" s="64">
        <v>2266053</v>
      </c>
      <c r="H10" s="64">
        <v>183346</v>
      </c>
      <c r="I10" s="64">
        <v>10032</v>
      </c>
    </row>
    <row r="11" spans="1:9" x14ac:dyDescent="0.3">
      <c r="A11" s="30" t="s">
        <v>565</v>
      </c>
      <c r="B11" s="7">
        <v>3929</v>
      </c>
      <c r="C11" s="7">
        <v>43219</v>
      </c>
      <c r="D11" s="7">
        <v>39</v>
      </c>
      <c r="F11" s="12" t="s">
        <v>562</v>
      </c>
      <c r="G11" s="64">
        <v>1846272</v>
      </c>
      <c r="H11" s="64">
        <v>138793</v>
      </c>
      <c r="I11" s="64">
        <v>6434</v>
      </c>
    </row>
    <row r="12" spans="1:9" x14ac:dyDescent="0.3">
      <c r="A12" s="30" t="s">
        <v>563</v>
      </c>
      <c r="B12" s="7">
        <v>3784</v>
      </c>
      <c r="C12" s="7">
        <v>56760</v>
      </c>
      <c r="D12" s="7">
        <v>131</v>
      </c>
      <c r="F12" s="12" t="s">
        <v>532</v>
      </c>
      <c r="G12" s="64">
        <v>8563545</v>
      </c>
      <c r="H12" s="64">
        <v>669831</v>
      </c>
      <c r="I12" s="64">
        <v>37027</v>
      </c>
    </row>
    <row r="13" spans="1:9" x14ac:dyDescent="0.3">
      <c r="A13" s="30" t="s">
        <v>563</v>
      </c>
      <c r="B13" s="7">
        <v>4241</v>
      </c>
      <c r="C13" s="7">
        <v>72097</v>
      </c>
      <c r="D13" s="7">
        <v>167</v>
      </c>
    </row>
    <row r="14" spans="1:9" x14ac:dyDescent="0.3">
      <c r="A14" s="30" t="s">
        <v>565</v>
      </c>
      <c r="B14" s="7">
        <v>1792</v>
      </c>
      <c r="C14" s="7">
        <v>25088</v>
      </c>
      <c r="D14" s="7">
        <v>65</v>
      </c>
    </row>
    <row r="15" spans="1:9" x14ac:dyDescent="0.3">
      <c r="A15" s="30" t="s">
        <v>564</v>
      </c>
      <c r="B15" s="7">
        <v>1946</v>
      </c>
      <c r="C15" s="7">
        <v>23352</v>
      </c>
      <c r="D15" s="7">
        <v>213</v>
      </c>
    </row>
    <row r="16" spans="1:9" x14ac:dyDescent="0.3">
      <c r="A16" s="30" t="s">
        <v>562</v>
      </c>
      <c r="B16" s="7">
        <v>1171</v>
      </c>
      <c r="C16" s="7">
        <v>22249</v>
      </c>
      <c r="D16" s="7">
        <v>114</v>
      </c>
    </row>
    <row r="17" spans="1:9" x14ac:dyDescent="0.3">
      <c r="A17" s="30"/>
      <c r="B17" s="7">
        <v>4242</v>
      </c>
      <c r="C17" s="7">
        <v>33936</v>
      </c>
      <c r="D17" s="7">
        <v>265</v>
      </c>
    </row>
    <row r="18" spans="1:9" x14ac:dyDescent="0.3">
      <c r="A18" s="30" t="s">
        <v>562</v>
      </c>
      <c r="B18" s="7">
        <v>3888</v>
      </c>
      <c r="C18" s="7">
        <v>77760</v>
      </c>
      <c r="D18" s="7">
        <v>20</v>
      </c>
      <c r="F18" s="11" t="s">
        <v>533</v>
      </c>
      <c r="G18" t="s">
        <v>554</v>
      </c>
      <c r="H18" t="s">
        <v>566</v>
      </c>
      <c r="I18" t="s">
        <v>567</v>
      </c>
    </row>
    <row r="19" spans="1:9" x14ac:dyDescent="0.3">
      <c r="A19" s="30" t="s">
        <v>564</v>
      </c>
      <c r="B19" s="7">
        <v>3452</v>
      </c>
      <c r="C19" s="7">
        <v>55232</v>
      </c>
      <c r="D19" s="7">
        <v>87</v>
      </c>
      <c r="F19" s="12" t="s">
        <v>565</v>
      </c>
      <c r="G19" s="64">
        <v>2646.605633802817</v>
      </c>
      <c r="H19" s="64">
        <v>34716.394366197186</v>
      </c>
      <c r="I19" s="64">
        <v>150.54929577464787</v>
      </c>
    </row>
    <row r="20" spans="1:9" x14ac:dyDescent="0.3">
      <c r="A20" s="30" t="s">
        <v>565</v>
      </c>
      <c r="B20" s="7">
        <v>4441</v>
      </c>
      <c r="C20" s="7">
        <v>53292</v>
      </c>
      <c r="D20" s="7">
        <v>159</v>
      </c>
      <c r="F20" s="12" t="s">
        <v>563</v>
      </c>
      <c r="G20" s="64">
        <v>2754.8793103448274</v>
      </c>
      <c r="H20" s="64">
        <v>34247.517241379312</v>
      </c>
      <c r="I20" s="64">
        <v>170.20689655172413</v>
      </c>
    </row>
    <row r="21" spans="1:9" x14ac:dyDescent="0.3">
      <c r="A21" s="30" t="s">
        <v>562</v>
      </c>
      <c r="B21" s="7">
        <v>3000</v>
      </c>
      <c r="C21" s="7">
        <v>36000</v>
      </c>
      <c r="D21" s="7">
        <v>19</v>
      </c>
      <c r="F21" s="12" t="s">
        <v>564</v>
      </c>
      <c r="G21" s="64">
        <v>2736.5074626865671</v>
      </c>
      <c r="H21" s="64">
        <v>33821.686567164179</v>
      </c>
      <c r="I21" s="64">
        <v>149.73134328358208</v>
      </c>
    </row>
    <row r="22" spans="1:9" x14ac:dyDescent="0.3">
      <c r="A22" s="30" t="s">
        <v>565</v>
      </c>
      <c r="B22" s="7">
        <v>1071</v>
      </c>
      <c r="C22" s="7">
        <v>16065</v>
      </c>
      <c r="D22" s="7">
        <v>103</v>
      </c>
      <c r="F22" s="12" t="s">
        <v>562</v>
      </c>
      <c r="G22" s="64">
        <v>2891.5208333333335</v>
      </c>
      <c r="H22" s="64">
        <v>38464</v>
      </c>
      <c r="I22" s="64">
        <v>134.04166666666666</v>
      </c>
    </row>
    <row r="23" spans="1:9" x14ac:dyDescent="0.3">
      <c r="A23" s="30" t="s">
        <v>562</v>
      </c>
      <c r="B23" s="7">
        <v>4054</v>
      </c>
      <c r="C23" s="7">
        <v>77026</v>
      </c>
      <c r="D23" s="7">
        <v>25</v>
      </c>
      <c r="F23" s="12" t="s">
        <v>532</v>
      </c>
      <c r="G23" s="64">
        <v>2745.2090163934427</v>
      </c>
      <c r="H23" s="64">
        <v>35096.495901639348</v>
      </c>
      <c r="I23" s="64">
        <v>151.75</v>
      </c>
    </row>
    <row r="24" spans="1:9" x14ac:dyDescent="0.3">
      <c r="A24" s="30" t="s">
        <v>565</v>
      </c>
      <c r="B24" s="7">
        <v>4838</v>
      </c>
      <c r="C24" s="7">
        <v>72570</v>
      </c>
      <c r="D24" s="7">
        <v>83</v>
      </c>
    </row>
    <row r="25" spans="1:9" x14ac:dyDescent="0.3">
      <c r="A25" s="30" t="s">
        <v>565</v>
      </c>
      <c r="B25" s="7">
        <v>1570</v>
      </c>
      <c r="C25" s="7">
        <v>25120</v>
      </c>
      <c r="D25" s="7">
        <v>133</v>
      </c>
    </row>
    <row r="26" spans="1:9" x14ac:dyDescent="0.3">
      <c r="A26" s="30" t="s">
        <v>563</v>
      </c>
      <c r="B26" s="7">
        <v>1606</v>
      </c>
      <c r="C26" s="7">
        <v>32120</v>
      </c>
      <c r="D26" s="7">
        <v>225</v>
      </c>
    </row>
    <row r="27" spans="1:9" x14ac:dyDescent="0.3">
      <c r="A27" s="30" t="s">
        <v>564</v>
      </c>
      <c r="B27" s="7">
        <v>3961</v>
      </c>
      <c r="C27" s="7">
        <v>67337</v>
      </c>
      <c r="D27" s="7">
        <v>161</v>
      </c>
    </row>
    <row r="28" spans="1:9" x14ac:dyDescent="0.3">
      <c r="A28" s="30"/>
      <c r="B28" s="7">
        <v>3128</v>
      </c>
      <c r="C28" s="7">
        <v>59432</v>
      </c>
      <c r="D28" s="7">
        <v>238</v>
      </c>
    </row>
    <row r="29" spans="1:9" x14ac:dyDescent="0.3">
      <c r="A29" s="30" t="s">
        <v>563</v>
      </c>
      <c r="B29" s="7">
        <v>3009</v>
      </c>
      <c r="C29" s="7">
        <v>42126</v>
      </c>
      <c r="D29" s="7">
        <v>211</v>
      </c>
    </row>
    <row r="30" spans="1:9" x14ac:dyDescent="0.3">
      <c r="A30" s="30" t="s">
        <v>565</v>
      </c>
      <c r="B30" s="7">
        <v>2076</v>
      </c>
      <c r="C30" s="7">
        <v>33216</v>
      </c>
      <c r="D30" s="7">
        <v>51</v>
      </c>
    </row>
    <row r="31" spans="1:9" x14ac:dyDescent="0.3">
      <c r="A31" s="30" t="s">
        <v>565</v>
      </c>
      <c r="B31" s="7">
        <v>432</v>
      </c>
      <c r="C31" s="7">
        <v>6912</v>
      </c>
      <c r="D31" s="7">
        <v>79</v>
      </c>
    </row>
    <row r="32" spans="1:9" x14ac:dyDescent="0.3">
      <c r="A32" s="30" t="s">
        <v>564</v>
      </c>
      <c r="B32" s="7">
        <v>2566</v>
      </c>
      <c r="C32" s="7">
        <v>12830</v>
      </c>
      <c r="D32" s="7">
        <v>221</v>
      </c>
    </row>
    <row r="33" spans="1:4" x14ac:dyDescent="0.3">
      <c r="A33" s="30"/>
      <c r="B33" s="7">
        <v>3095</v>
      </c>
      <c r="C33" s="7">
        <v>55710</v>
      </c>
      <c r="D33" s="7">
        <v>93</v>
      </c>
    </row>
    <row r="34" spans="1:4" x14ac:dyDescent="0.3">
      <c r="A34" s="30" t="s">
        <v>563</v>
      </c>
      <c r="B34" s="7">
        <v>438</v>
      </c>
      <c r="C34" s="7">
        <v>3066</v>
      </c>
      <c r="D34" s="7">
        <v>282</v>
      </c>
    </row>
    <row r="35" spans="1:4" x14ac:dyDescent="0.3">
      <c r="A35" s="30" t="s">
        <v>562</v>
      </c>
      <c r="B35" s="7">
        <v>2278</v>
      </c>
      <c r="C35" s="7">
        <v>13668</v>
      </c>
      <c r="D35" s="7">
        <v>275</v>
      </c>
    </row>
    <row r="36" spans="1:4" x14ac:dyDescent="0.3">
      <c r="A36" s="30" t="s">
        <v>562</v>
      </c>
      <c r="B36" s="7">
        <v>1407</v>
      </c>
      <c r="C36" s="7">
        <v>16884</v>
      </c>
      <c r="D36" s="7">
        <v>113</v>
      </c>
    </row>
    <row r="37" spans="1:4" x14ac:dyDescent="0.3">
      <c r="A37" s="30" t="s">
        <v>564</v>
      </c>
      <c r="B37" s="7">
        <v>1652</v>
      </c>
      <c r="C37" s="7">
        <v>29736</v>
      </c>
      <c r="D37" s="7">
        <v>215</v>
      </c>
    </row>
    <row r="38" spans="1:4" x14ac:dyDescent="0.3">
      <c r="A38" s="30" t="s">
        <v>563</v>
      </c>
      <c r="B38" s="7">
        <v>3775</v>
      </c>
      <c r="C38" s="7">
        <v>33975</v>
      </c>
      <c r="D38" s="7">
        <v>271</v>
      </c>
    </row>
    <row r="39" spans="1:4" x14ac:dyDescent="0.3">
      <c r="A39" s="30" t="s">
        <v>563</v>
      </c>
      <c r="B39" s="7">
        <v>4518</v>
      </c>
      <c r="C39" s="7">
        <v>67770</v>
      </c>
      <c r="D39" s="7">
        <v>31</v>
      </c>
    </row>
    <row r="40" spans="1:4" x14ac:dyDescent="0.3">
      <c r="A40" s="30" t="s">
        <v>563</v>
      </c>
      <c r="B40" s="7">
        <v>3024</v>
      </c>
      <c r="C40" s="7">
        <v>24192</v>
      </c>
      <c r="D40" s="7">
        <v>36</v>
      </c>
    </row>
    <row r="41" spans="1:4" x14ac:dyDescent="0.3">
      <c r="A41" s="30" t="s">
        <v>565</v>
      </c>
      <c r="B41" s="7">
        <v>3138</v>
      </c>
      <c r="C41" s="7">
        <v>28242</v>
      </c>
      <c r="D41" s="7">
        <v>87</v>
      </c>
    </row>
    <row r="42" spans="1:4" x14ac:dyDescent="0.3">
      <c r="A42" s="30"/>
      <c r="B42" s="7">
        <v>3564</v>
      </c>
      <c r="C42" s="7">
        <v>60588</v>
      </c>
      <c r="D42" s="7">
        <v>92</v>
      </c>
    </row>
    <row r="43" spans="1:4" x14ac:dyDescent="0.3">
      <c r="A43" s="30" t="s">
        <v>565</v>
      </c>
      <c r="B43" s="7">
        <v>4750</v>
      </c>
      <c r="C43" s="7">
        <v>38000</v>
      </c>
      <c r="D43" s="7">
        <v>299</v>
      </c>
    </row>
    <row r="44" spans="1:4" x14ac:dyDescent="0.3">
      <c r="A44" s="30" t="s">
        <v>565</v>
      </c>
      <c r="B44" s="7">
        <v>456</v>
      </c>
      <c r="C44" s="7">
        <v>8208</v>
      </c>
      <c r="D44" s="7">
        <v>205</v>
      </c>
    </row>
    <row r="45" spans="1:4" x14ac:dyDescent="0.3">
      <c r="A45" s="30"/>
      <c r="B45" s="7">
        <v>1543</v>
      </c>
      <c r="C45" s="7">
        <v>12344</v>
      </c>
      <c r="D45" s="7">
        <v>241</v>
      </c>
    </row>
    <row r="46" spans="1:4" x14ac:dyDescent="0.3">
      <c r="A46" s="30" t="s">
        <v>564</v>
      </c>
      <c r="B46" s="7">
        <v>2174</v>
      </c>
      <c r="C46" s="7">
        <v>13044</v>
      </c>
      <c r="D46" s="7">
        <v>137</v>
      </c>
    </row>
    <row r="47" spans="1:4" x14ac:dyDescent="0.3">
      <c r="A47" s="30"/>
      <c r="B47" s="7">
        <v>2358</v>
      </c>
      <c r="C47" s="7">
        <v>35370</v>
      </c>
      <c r="D47" s="7">
        <v>216</v>
      </c>
    </row>
    <row r="48" spans="1:4" x14ac:dyDescent="0.3">
      <c r="A48" s="30" t="s">
        <v>562</v>
      </c>
      <c r="B48" s="7">
        <v>3371</v>
      </c>
      <c r="C48" s="7">
        <v>50565</v>
      </c>
      <c r="D48" s="7">
        <v>176</v>
      </c>
    </row>
    <row r="49" spans="1:4" x14ac:dyDescent="0.3">
      <c r="A49" s="30" t="s">
        <v>565</v>
      </c>
      <c r="B49" s="7">
        <v>1108</v>
      </c>
      <c r="C49" s="7">
        <v>8864</v>
      </c>
      <c r="D49" s="7">
        <v>97</v>
      </c>
    </row>
    <row r="50" spans="1:4" x14ac:dyDescent="0.3">
      <c r="A50" s="30"/>
      <c r="B50" s="7">
        <v>2704</v>
      </c>
      <c r="C50" s="7">
        <v>21632</v>
      </c>
      <c r="D50" s="7">
        <v>127</v>
      </c>
    </row>
    <row r="51" spans="1:4" x14ac:dyDescent="0.3">
      <c r="A51" s="30"/>
      <c r="B51" s="7">
        <v>1950</v>
      </c>
      <c r="C51" s="7">
        <v>37050</v>
      </c>
      <c r="D51" s="7">
        <v>119</v>
      </c>
    </row>
    <row r="52" spans="1:4" x14ac:dyDescent="0.3">
      <c r="A52" s="30" t="s">
        <v>565</v>
      </c>
      <c r="B52" s="7">
        <v>2164</v>
      </c>
      <c r="C52" s="7">
        <v>28132</v>
      </c>
      <c r="D52" s="7">
        <v>177</v>
      </c>
    </row>
    <row r="53" spans="1:4" x14ac:dyDescent="0.3">
      <c r="A53" s="30" t="s">
        <v>564</v>
      </c>
      <c r="B53" s="7">
        <v>2754</v>
      </c>
      <c r="C53" s="7">
        <v>22032</v>
      </c>
      <c r="D53" s="7">
        <v>112</v>
      </c>
    </row>
    <row r="54" spans="1:4" x14ac:dyDescent="0.3">
      <c r="A54" s="30" t="s">
        <v>563</v>
      </c>
      <c r="B54" s="7">
        <v>2200</v>
      </c>
      <c r="C54" s="7">
        <v>37400</v>
      </c>
      <c r="D54" s="7">
        <v>225</v>
      </c>
    </row>
    <row r="55" spans="1:4" x14ac:dyDescent="0.3">
      <c r="A55" s="30" t="s">
        <v>565</v>
      </c>
      <c r="B55" s="7">
        <v>947</v>
      </c>
      <c r="C55" s="7">
        <v>10417</v>
      </c>
      <c r="D55" s="7">
        <v>34</v>
      </c>
    </row>
    <row r="56" spans="1:4" x14ac:dyDescent="0.3">
      <c r="A56" s="30"/>
      <c r="B56" s="7">
        <v>804</v>
      </c>
      <c r="C56" s="7">
        <v>4020</v>
      </c>
      <c r="D56" s="7">
        <v>11</v>
      </c>
    </row>
    <row r="57" spans="1:4" x14ac:dyDescent="0.3">
      <c r="A57" s="30" t="s">
        <v>563</v>
      </c>
      <c r="B57" s="7">
        <v>1686</v>
      </c>
      <c r="C57" s="7">
        <v>18546</v>
      </c>
      <c r="D57" s="7">
        <v>52</v>
      </c>
    </row>
    <row r="58" spans="1:4" x14ac:dyDescent="0.3">
      <c r="A58" s="30" t="s">
        <v>565</v>
      </c>
      <c r="B58" s="7">
        <v>1226</v>
      </c>
      <c r="C58" s="7">
        <v>14712</v>
      </c>
      <c r="D58" s="7">
        <v>123</v>
      </c>
    </row>
    <row r="59" spans="1:4" x14ac:dyDescent="0.3">
      <c r="A59" s="30" t="s">
        <v>564</v>
      </c>
      <c r="B59" s="7">
        <v>2946</v>
      </c>
      <c r="C59" s="7">
        <v>29460</v>
      </c>
      <c r="D59" s="7">
        <v>60</v>
      </c>
    </row>
    <row r="60" spans="1:4" x14ac:dyDescent="0.3">
      <c r="A60" s="30" t="s">
        <v>562</v>
      </c>
      <c r="B60" s="7">
        <v>2825</v>
      </c>
      <c r="C60" s="7">
        <v>45200</v>
      </c>
      <c r="D60" s="7">
        <v>169</v>
      </c>
    </row>
    <row r="61" spans="1:4" x14ac:dyDescent="0.3">
      <c r="A61" s="30" t="s">
        <v>565</v>
      </c>
      <c r="B61" s="7">
        <v>103</v>
      </c>
      <c r="C61" s="7">
        <v>1030</v>
      </c>
      <c r="D61" s="7">
        <v>262</v>
      </c>
    </row>
    <row r="62" spans="1:4" x14ac:dyDescent="0.3">
      <c r="A62" s="30"/>
      <c r="B62" s="7">
        <v>2180</v>
      </c>
      <c r="C62" s="7">
        <v>30520</v>
      </c>
      <c r="D62" s="7">
        <v>174</v>
      </c>
    </row>
    <row r="63" spans="1:4" x14ac:dyDescent="0.3">
      <c r="A63" s="30" t="s">
        <v>564</v>
      </c>
      <c r="B63" s="7">
        <v>904</v>
      </c>
      <c r="C63" s="7">
        <v>11752</v>
      </c>
      <c r="D63" s="7">
        <v>84</v>
      </c>
    </row>
    <row r="64" spans="1:4" x14ac:dyDescent="0.3">
      <c r="A64" s="30" t="s">
        <v>562</v>
      </c>
      <c r="B64" s="7">
        <v>4886</v>
      </c>
      <c r="C64" s="7">
        <v>43974</v>
      </c>
      <c r="D64" s="7">
        <v>65</v>
      </c>
    </row>
    <row r="65" spans="1:4" x14ac:dyDescent="0.3">
      <c r="A65" s="30" t="s">
        <v>564</v>
      </c>
      <c r="B65" s="7">
        <v>53</v>
      </c>
      <c r="C65" s="7">
        <v>954</v>
      </c>
      <c r="D65" s="7">
        <v>148</v>
      </c>
    </row>
    <row r="66" spans="1:4" x14ac:dyDescent="0.3">
      <c r="A66" s="30" t="s">
        <v>564</v>
      </c>
      <c r="B66" s="7">
        <v>4507</v>
      </c>
      <c r="C66" s="7">
        <v>90140</v>
      </c>
      <c r="D66" s="7">
        <v>125</v>
      </c>
    </row>
    <row r="67" spans="1:4" x14ac:dyDescent="0.3">
      <c r="A67" s="30" t="s">
        <v>564</v>
      </c>
      <c r="B67" s="7">
        <v>2878</v>
      </c>
      <c r="C67" s="7">
        <v>43170</v>
      </c>
      <c r="D67" s="7">
        <v>75</v>
      </c>
    </row>
    <row r="68" spans="1:4" x14ac:dyDescent="0.3">
      <c r="A68" s="30"/>
      <c r="B68" s="7">
        <v>1881</v>
      </c>
      <c r="C68" s="7">
        <v>20691</v>
      </c>
      <c r="D68" s="7">
        <v>289</v>
      </c>
    </row>
    <row r="69" spans="1:4" x14ac:dyDescent="0.3">
      <c r="A69" s="30" t="s">
        <v>562</v>
      </c>
      <c r="B69" s="7">
        <v>432</v>
      </c>
      <c r="C69" s="7">
        <v>3024</v>
      </c>
      <c r="D69" s="7">
        <v>184</v>
      </c>
    </row>
    <row r="70" spans="1:4" x14ac:dyDescent="0.3">
      <c r="A70" s="30" t="s">
        <v>564</v>
      </c>
      <c r="B70" s="7">
        <v>4712</v>
      </c>
      <c r="C70" s="7">
        <v>84816</v>
      </c>
      <c r="D70" s="7">
        <v>100</v>
      </c>
    </row>
    <row r="71" spans="1:4" x14ac:dyDescent="0.3">
      <c r="A71" s="30"/>
      <c r="B71" s="7">
        <v>2610</v>
      </c>
      <c r="C71" s="7">
        <v>15660</v>
      </c>
      <c r="D71" s="7">
        <v>73</v>
      </c>
    </row>
    <row r="72" spans="1:4" x14ac:dyDescent="0.3">
      <c r="A72" s="30" t="s">
        <v>564</v>
      </c>
      <c r="B72" s="7">
        <v>1292</v>
      </c>
      <c r="C72" s="7">
        <v>25840</v>
      </c>
      <c r="D72" s="7">
        <v>149</v>
      </c>
    </row>
    <row r="73" spans="1:4" x14ac:dyDescent="0.3">
      <c r="A73" s="30"/>
      <c r="B73" s="7">
        <v>199</v>
      </c>
      <c r="C73" s="7">
        <v>3582</v>
      </c>
      <c r="D73" s="7">
        <v>43</v>
      </c>
    </row>
    <row r="74" spans="1:4" x14ac:dyDescent="0.3">
      <c r="A74" s="30" t="s">
        <v>563</v>
      </c>
      <c r="B74" s="7">
        <v>2551</v>
      </c>
      <c r="C74" s="7">
        <v>30612</v>
      </c>
      <c r="D74" s="7">
        <v>227</v>
      </c>
    </row>
    <row r="75" spans="1:4" x14ac:dyDescent="0.3">
      <c r="A75" s="30" t="s">
        <v>563</v>
      </c>
      <c r="B75" s="7">
        <v>296</v>
      </c>
      <c r="C75" s="7">
        <v>5624</v>
      </c>
      <c r="D75" s="7">
        <v>88</v>
      </c>
    </row>
    <row r="76" spans="1:4" x14ac:dyDescent="0.3">
      <c r="A76" s="30" t="s">
        <v>565</v>
      </c>
      <c r="B76" s="7">
        <v>4126</v>
      </c>
      <c r="C76" s="7">
        <v>78394</v>
      </c>
      <c r="D76" s="7">
        <v>88</v>
      </c>
    </row>
    <row r="77" spans="1:4" x14ac:dyDescent="0.3">
      <c r="A77" s="30" t="s">
        <v>564</v>
      </c>
      <c r="B77" s="7">
        <v>1855</v>
      </c>
      <c r="C77" s="7">
        <v>16695</v>
      </c>
      <c r="D77" s="7">
        <v>123</v>
      </c>
    </row>
    <row r="78" spans="1:4" x14ac:dyDescent="0.3">
      <c r="A78" s="30" t="s">
        <v>565</v>
      </c>
      <c r="B78" s="7">
        <v>1674</v>
      </c>
      <c r="C78" s="7">
        <v>21762</v>
      </c>
      <c r="D78" s="7">
        <v>255</v>
      </c>
    </row>
    <row r="79" spans="1:4" x14ac:dyDescent="0.3">
      <c r="A79" s="30" t="s">
        <v>565</v>
      </c>
      <c r="B79" s="7">
        <v>1121</v>
      </c>
      <c r="C79" s="7">
        <v>15694</v>
      </c>
      <c r="D79" s="7">
        <v>99</v>
      </c>
    </row>
    <row r="80" spans="1:4" x14ac:dyDescent="0.3">
      <c r="A80" s="30"/>
      <c r="B80" s="7">
        <v>1249</v>
      </c>
      <c r="C80" s="7">
        <v>8743</v>
      </c>
      <c r="D80" s="7">
        <v>63</v>
      </c>
    </row>
    <row r="81" spans="1:4" x14ac:dyDescent="0.3">
      <c r="A81" s="30" t="s">
        <v>565</v>
      </c>
      <c r="B81" s="7">
        <v>954</v>
      </c>
      <c r="C81" s="7">
        <v>19080</v>
      </c>
      <c r="D81" s="7">
        <v>21</v>
      </c>
    </row>
    <row r="82" spans="1:4" x14ac:dyDescent="0.3">
      <c r="A82" s="30" t="s">
        <v>563</v>
      </c>
      <c r="B82" s="7">
        <v>3068</v>
      </c>
      <c r="C82" s="7">
        <v>39884</v>
      </c>
      <c r="D82" s="7">
        <v>266</v>
      </c>
    </row>
    <row r="83" spans="1:4" x14ac:dyDescent="0.3">
      <c r="A83" s="30"/>
      <c r="B83" s="7">
        <v>2103</v>
      </c>
      <c r="C83" s="7">
        <v>39957</v>
      </c>
      <c r="D83" s="7">
        <v>28</v>
      </c>
    </row>
    <row r="84" spans="1:4" x14ac:dyDescent="0.3">
      <c r="A84" s="30" t="s">
        <v>564</v>
      </c>
      <c r="B84" s="7">
        <v>1816</v>
      </c>
      <c r="C84" s="7">
        <v>19976</v>
      </c>
      <c r="D84" s="7">
        <v>283</v>
      </c>
    </row>
    <row r="85" spans="1:4" x14ac:dyDescent="0.3">
      <c r="A85" s="30" t="s">
        <v>564</v>
      </c>
      <c r="B85" s="7">
        <v>725</v>
      </c>
      <c r="C85" s="7">
        <v>14500</v>
      </c>
      <c r="D85" s="7">
        <v>200</v>
      </c>
    </row>
    <row r="86" spans="1:4" x14ac:dyDescent="0.3">
      <c r="A86" s="30"/>
      <c r="B86" s="7">
        <v>1094</v>
      </c>
      <c r="C86" s="7">
        <v>9846</v>
      </c>
      <c r="D86" s="7">
        <v>112</v>
      </c>
    </row>
    <row r="87" spans="1:4" x14ac:dyDescent="0.3">
      <c r="A87" s="30" t="s">
        <v>565</v>
      </c>
      <c r="B87" s="7">
        <v>1841</v>
      </c>
      <c r="C87" s="7">
        <v>34979</v>
      </c>
      <c r="D87" s="7">
        <v>255</v>
      </c>
    </row>
    <row r="88" spans="1:4" x14ac:dyDescent="0.3">
      <c r="A88" s="30" t="s">
        <v>562</v>
      </c>
      <c r="B88" s="7">
        <v>4177</v>
      </c>
      <c r="C88" s="7">
        <v>25062</v>
      </c>
      <c r="D88" s="7">
        <v>230</v>
      </c>
    </row>
    <row r="89" spans="1:4" x14ac:dyDescent="0.3">
      <c r="A89" s="30" t="s">
        <v>565</v>
      </c>
      <c r="B89" s="7">
        <v>3428</v>
      </c>
      <c r="C89" s="7">
        <v>58276</v>
      </c>
      <c r="D89" s="7">
        <v>242</v>
      </c>
    </row>
    <row r="90" spans="1:4" x14ac:dyDescent="0.3">
      <c r="A90" s="30" t="s">
        <v>564</v>
      </c>
      <c r="B90" s="7">
        <v>1436</v>
      </c>
      <c r="C90" s="7">
        <v>12924</v>
      </c>
      <c r="D90" s="7">
        <v>197</v>
      </c>
    </row>
    <row r="91" spans="1:4" x14ac:dyDescent="0.3">
      <c r="A91" s="30" t="s">
        <v>565</v>
      </c>
      <c r="B91" s="7">
        <v>302</v>
      </c>
      <c r="C91" s="7">
        <v>5738</v>
      </c>
      <c r="D91" s="7">
        <v>25</v>
      </c>
    </row>
    <row r="92" spans="1:4" x14ac:dyDescent="0.3">
      <c r="A92" s="30"/>
      <c r="B92" s="7">
        <v>2214</v>
      </c>
      <c r="C92" s="7">
        <v>15498</v>
      </c>
      <c r="D92" s="7">
        <v>180</v>
      </c>
    </row>
    <row r="93" spans="1:4" x14ac:dyDescent="0.3">
      <c r="A93" s="30" t="s">
        <v>565</v>
      </c>
      <c r="B93" s="7">
        <v>3861</v>
      </c>
      <c r="C93" s="7">
        <v>69498</v>
      </c>
      <c r="D93" s="7">
        <v>297</v>
      </c>
    </row>
    <row r="94" spans="1:4" x14ac:dyDescent="0.3">
      <c r="A94" s="30" t="s">
        <v>565</v>
      </c>
      <c r="B94" s="7">
        <v>1263</v>
      </c>
      <c r="C94" s="7">
        <v>25260</v>
      </c>
      <c r="D94" s="7">
        <v>137</v>
      </c>
    </row>
    <row r="95" spans="1:4" x14ac:dyDescent="0.3">
      <c r="A95" s="30" t="s">
        <v>564</v>
      </c>
      <c r="B95" s="7">
        <v>3801</v>
      </c>
      <c r="C95" s="7">
        <v>38010</v>
      </c>
      <c r="D95" s="7">
        <v>236</v>
      </c>
    </row>
    <row r="96" spans="1:4" x14ac:dyDescent="0.3">
      <c r="A96" s="30" t="s">
        <v>564</v>
      </c>
      <c r="B96" s="7">
        <v>1431</v>
      </c>
      <c r="C96" s="7">
        <v>8586</v>
      </c>
      <c r="D96" s="7">
        <v>150</v>
      </c>
    </row>
    <row r="97" spans="1:4" x14ac:dyDescent="0.3">
      <c r="A97" s="30" t="s">
        <v>564</v>
      </c>
      <c r="B97" s="7">
        <v>2647</v>
      </c>
      <c r="C97" s="7">
        <v>18529</v>
      </c>
      <c r="D97" s="7">
        <v>46</v>
      </c>
    </row>
    <row r="98" spans="1:4" x14ac:dyDescent="0.3">
      <c r="A98" s="30" t="s">
        <v>565</v>
      </c>
      <c r="B98" s="7">
        <v>3182</v>
      </c>
      <c r="C98" s="7">
        <v>57276</v>
      </c>
      <c r="D98" s="7">
        <v>163</v>
      </c>
    </row>
    <row r="99" spans="1:4" x14ac:dyDescent="0.3">
      <c r="A99" s="30"/>
      <c r="B99" s="7">
        <v>1238</v>
      </c>
      <c r="C99" s="7">
        <v>19808</v>
      </c>
      <c r="D99" s="7">
        <v>123</v>
      </c>
    </row>
    <row r="100" spans="1:4" x14ac:dyDescent="0.3">
      <c r="A100" s="30" t="s">
        <v>563</v>
      </c>
      <c r="B100" s="7">
        <v>4739</v>
      </c>
      <c r="C100" s="7">
        <v>61607</v>
      </c>
      <c r="D100" s="7">
        <v>36</v>
      </c>
    </row>
    <row r="101" spans="1:4" x14ac:dyDescent="0.3">
      <c r="A101" s="30" t="s">
        <v>565</v>
      </c>
      <c r="B101" s="7">
        <v>1575</v>
      </c>
      <c r="C101" s="7">
        <v>25200</v>
      </c>
      <c r="D101" s="7">
        <v>17</v>
      </c>
    </row>
    <row r="102" spans="1:4" x14ac:dyDescent="0.3">
      <c r="A102" s="30" t="s">
        <v>564</v>
      </c>
      <c r="B102" s="7">
        <v>4171</v>
      </c>
      <c r="C102" s="7">
        <v>66736</v>
      </c>
      <c r="D102" s="7">
        <v>173</v>
      </c>
    </row>
    <row r="103" spans="1:4" x14ac:dyDescent="0.3">
      <c r="A103" s="30"/>
      <c r="B103" s="7">
        <v>1766</v>
      </c>
      <c r="C103" s="7">
        <v>24724</v>
      </c>
      <c r="D103" s="7">
        <v>52</v>
      </c>
    </row>
    <row r="104" spans="1:4" x14ac:dyDescent="0.3">
      <c r="A104" s="30" t="s">
        <v>564</v>
      </c>
      <c r="B104" s="7">
        <v>4450</v>
      </c>
      <c r="C104" s="7">
        <v>75650</v>
      </c>
      <c r="D104" s="7">
        <v>12</v>
      </c>
    </row>
    <row r="105" spans="1:4" x14ac:dyDescent="0.3">
      <c r="A105" s="30" t="s">
        <v>563</v>
      </c>
      <c r="B105" s="7">
        <v>1000</v>
      </c>
      <c r="C105" s="7">
        <v>6000</v>
      </c>
      <c r="D105" s="7">
        <v>223</v>
      </c>
    </row>
    <row r="106" spans="1:4" x14ac:dyDescent="0.3">
      <c r="A106" s="30" t="s">
        <v>563</v>
      </c>
      <c r="B106" s="7">
        <v>3689</v>
      </c>
      <c r="C106" s="7">
        <v>40579</v>
      </c>
      <c r="D106" s="7">
        <v>212</v>
      </c>
    </row>
    <row r="107" spans="1:4" x14ac:dyDescent="0.3">
      <c r="A107" s="30" t="s">
        <v>564</v>
      </c>
      <c r="B107" s="7">
        <v>3655</v>
      </c>
      <c r="C107" s="7">
        <v>32895</v>
      </c>
      <c r="D107" s="7">
        <v>199</v>
      </c>
    </row>
    <row r="108" spans="1:4" x14ac:dyDescent="0.3">
      <c r="A108" s="30" t="s">
        <v>562</v>
      </c>
      <c r="B108" s="7">
        <v>498</v>
      </c>
      <c r="C108" s="7">
        <v>4482</v>
      </c>
      <c r="D108" s="7">
        <v>32</v>
      </c>
    </row>
    <row r="109" spans="1:4" x14ac:dyDescent="0.3">
      <c r="A109" s="30" t="s">
        <v>565</v>
      </c>
      <c r="B109" s="7">
        <v>4619</v>
      </c>
      <c r="C109" s="7">
        <v>69285</v>
      </c>
      <c r="D109" s="7">
        <v>298</v>
      </c>
    </row>
    <row r="110" spans="1:4" x14ac:dyDescent="0.3">
      <c r="A110" s="30"/>
      <c r="B110" s="7">
        <v>4832</v>
      </c>
      <c r="C110" s="7">
        <v>91808</v>
      </c>
      <c r="D110" s="7">
        <v>182</v>
      </c>
    </row>
    <row r="111" spans="1:4" x14ac:dyDescent="0.3">
      <c r="A111" s="30" t="s">
        <v>563</v>
      </c>
      <c r="B111" s="7">
        <v>4050</v>
      </c>
      <c r="C111" s="7">
        <v>52650</v>
      </c>
      <c r="D111" s="7">
        <v>209</v>
      </c>
    </row>
    <row r="112" spans="1:4" x14ac:dyDescent="0.3">
      <c r="A112" s="30" t="s">
        <v>564</v>
      </c>
      <c r="B112" s="7">
        <v>3649</v>
      </c>
      <c r="C112" s="7">
        <v>25543</v>
      </c>
      <c r="D112" s="7">
        <v>167</v>
      </c>
    </row>
    <row r="113" spans="1:4" x14ac:dyDescent="0.3">
      <c r="A113" s="30" t="s">
        <v>563</v>
      </c>
      <c r="B113" s="7">
        <v>3523</v>
      </c>
      <c r="C113" s="7">
        <v>38753</v>
      </c>
      <c r="D113" s="7">
        <v>270</v>
      </c>
    </row>
    <row r="114" spans="1:4" x14ac:dyDescent="0.3">
      <c r="A114" s="30" t="s">
        <v>563</v>
      </c>
      <c r="B114" s="7">
        <v>2719</v>
      </c>
      <c r="C114" s="7">
        <v>40785</v>
      </c>
      <c r="D114" s="7">
        <v>40</v>
      </c>
    </row>
    <row r="115" spans="1:4" x14ac:dyDescent="0.3">
      <c r="A115" s="30" t="s">
        <v>564</v>
      </c>
      <c r="B115" s="7">
        <v>1957</v>
      </c>
      <c r="C115" s="7">
        <v>17613</v>
      </c>
      <c r="D115" s="7">
        <v>297</v>
      </c>
    </row>
    <row r="116" spans="1:4" x14ac:dyDescent="0.3">
      <c r="A116" s="30" t="s">
        <v>562</v>
      </c>
      <c r="B116" s="7">
        <v>4419</v>
      </c>
      <c r="C116" s="7">
        <v>44190</v>
      </c>
      <c r="D116" s="7">
        <v>10</v>
      </c>
    </row>
    <row r="117" spans="1:4" x14ac:dyDescent="0.3">
      <c r="A117" s="30" t="s">
        <v>562</v>
      </c>
      <c r="B117" s="7">
        <v>4000</v>
      </c>
      <c r="C117" s="7">
        <v>40000</v>
      </c>
      <c r="D117" s="7">
        <v>44</v>
      </c>
    </row>
    <row r="118" spans="1:4" x14ac:dyDescent="0.3">
      <c r="A118" s="30" t="s">
        <v>565</v>
      </c>
      <c r="B118" s="7">
        <v>2493</v>
      </c>
      <c r="C118" s="7">
        <v>42381</v>
      </c>
      <c r="D118" s="7">
        <v>242</v>
      </c>
    </row>
    <row r="119" spans="1:4" x14ac:dyDescent="0.3">
      <c r="A119" s="30"/>
      <c r="B119" s="7">
        <v>3704</v>
      </c>
      <c r="C119" s="7">
        <v>25928</v>
      </c>
      <c r="D119" s="7">
        <v>131</v>
      </c>
    </row>
    <row r="120" spans="1:4" x14ac:dyDescent="0.3">
      <c r="A120" s="30" t="s">
        <v>565</v>
      </c>
      <c r="B120" s="7">
        <v>1606</v>
      </c>
      <c r="C120" s="7">
        <v>20878</v>
      </c>
      <c r="D120" s="7">
        <v>219</v>
      </c>
    </row>
    <row r="121" spans="1:4" x14ac:dyDescent="0.3">
      <c r="A121" s="30" t="s">
        <v>564</v>
      </c>
      <c r="B121" s="7">
        <v>4551</v>
      </c>
      <c r="C121" s="7">
        <v>68265</v>
      </c>
      <c r="D121" s="7">
        <v>57</v>
      </c>
    </row>
    <row r="122" spans="1:4" x14ac:dyDescent="0.3">
      <c r="A122" s="30"/>
      <c r="B122" s="7">
        <v>1970</v>
      </c>
      <c r="C122" s="7">
        <v>9850</v>
      </c>
      <c r="D122" s="7">
        <v>117</v>
      </c>
    </row>
    <row r="123" spans="1:4" x14ac:dyDescent="0.3">
      <c r="A123" s="30" t="s">
        <v>564</v>
      </c>
      <c r="B123" s="7">
        <v>780</v>
      </c>
      <c r="C123" s="7">
        <v>8580</v>
      </c>
      <c r="D123" s="7">
        <v>91</v>
      </c>
    </row>
    <row r="124" spans="1:4" x14ac:dyDescent="0.3">
      <c r="A124" s="30"/>
      <c r="B124" s="7">
        <v>498</v>
      </c>
      <c r="C124" s="7">
        <v>4980</v>
      </c>
      <c r="D124" s="7">
        <v>185</v>
      </c>
    </row>
    <row r="125" spans="1:4" x14ac:dyDescent="0.3">
      <c r="A125" s="30" t="s">
        <v>563</v>
      </c>
      <c r="B125" s="7">
        <v>3432</v>
      </c>
      <c r="C125" s="7">
        <v>54912</v>
      </c>
      <c r="D125" s="7">
        <v>264</v>
      </c>
    </row>
    <row r="126" spans="1:4" x14ac:dyDescent="0.3">
      <c r="A126" s="30" t="s">
        <v>562</v>
      </c>
      <c r="B126" s="7">
        <v>4363</v>
      </c>
      <c r="C126" s="7">
        <v>21815</v>
      </c>
      <c r="D126" s="7">
        <v>157</v>
      </c>
    </row>
    <row r="127" spans="1:4" x14ac:dyDescent="0.3">
      <c r="A127" s="30" t="s">
        <v>562</v>
      </c>
      <c r="B127" s="7">
        <v>736</v>
      </c>
      <c r="C127" s="7">
        <v>5152</v>
      </c>
      <c r="D127" s="7">
        <v>19</v>
      </c>
    </row>
    <row r="128" spans="1:4" x14ac:dyDescent="0.3">
      <c r="A128" s="30" t="s">
        <v>565</v>
      </c>
      <c r="B128" s="7">
        <v>3811</v>
      </c>
      <c r="C128" s="7">
        <v>34299</v>
      </c>
      <c r="D128" s="7">
        <v>233</v>
      </c>
    </row>
    <row r="129" spans="1:4" x14ac:dyDescent="0.3">
      <c r="A129" s="30"/>
      <c r="B129" s="7">
        <v>4158</v>
      </c>
      <c r="C129" s="7">
        <v>45738</v>
      </c>
      <c r="D129" s="7">
        <v>142</v>
      </c>
    </row>
    <row r="130" spans="1:4" x14ac:dyDescent="0.3">
      <c r="A130" s="30" t="s">
        <v>564</v>
      </c>
      <c r="B130" s="7">
        <v>3452</v>
      </c>
      <c r="C130" s="7">
        <v>65588</v>
      </c>
      <c r="D130" s="7">
        <v>158</v>
      </c>
    </row>
    <row r="131" spans="1:4" x14ac:dyDescent="0.3">
      <c r="A131" s="30"/>
      <c r="B131" s="7">
        <v>3092</v>
      </c>
      <c r="C131" s="7">
        <v>27828</v>
      </c>
      <c r="D131" s="7">
        <v>102</v>
      </c>
    </row>
    <row r="132" spans="1:4" x14ac:dyDescent="0.3">
      <c r="A132" s="30"/>
      <c r="B132" s="7">
        <v>2147</v>
      </c>
      <c r="C132" s="7">
        <v>17176</v>
      </c>
      <c r="D132" s="7">
        <v>170</v>
      </c>
    </row>
    <row r="133" spans="1:4" x14ac:dyDescent="0.3">
      <c r="A133" s="30" t="s">
        <v>565</v>
      </c>
      <c r="B133" s="7">
        <v>2936</v>
      </c>
      <c r="C133" s="7">
        <v>38168</v>
      </c>
      <c r="D133" s="7">
        <v>22</v>
      </c>
    </row>
    <row r="134" spans="1:4" x14ac:dyDescent="0.3">
      <c r="A134" s="30" t="s">
        <v>564</v>
      </c>
      <c r="B134" s="7">
        <v>4840</v>
      </c>
      <c r="C134" s="7">
        <v>43560</v>
      </c>
      <c r="D134" s="7">
        <v>57</v>
      </c>
    </row>
    <row r="135" spans="1:4" x14ac:dyDescent="0.3">
      <c r="A135" s="30" t="s">
        <v>563</v>
      </c>
      <c r="B135" s="7">
        <v>1947</v>
      </c>
      <c r="C135" s="7">
        <v>21417</v>
      </c>
      <c r="D135" s="7">
        <v>186</v>
      </c>
    </row>
    <row r="136" spans="1:4" x14ac:dyDescent="0.3">
      <c r="A136" s="30" t="s">
        <v>565</v>
      </c>
      <c r="B136" s="7">
        <v>2072</v>
      </c>
      <c r="C136" s="7">
        <v>37296</v>
      </c>
      <c r="D136" s="7">
        <v>25</v>
      </c>
    </row>
    <row r="137" spans="1:4" x14ac:dyDescent="0.3">
      <c r="A137" s="30" t="s">
        <v>562</v>
      </c>
      <c r="B137" s="7">
        <v>3731</v>
      </c>
      <c r="C137" s="7">
        <v>55965</v>
      </c>
      <c r="D137" s="7">
        <v>103</v>
      </c>
    </row>
    <row r="138" spans="1:4" x14ac:dyDescent="0.3">
      <c r="A138" s="30" t="s">
        <v>565</v>
      </c>
      <c r="B138" s="7">
        <v>4213</v>
      </c>
      <c r="C138" s="7">
        <v>75834</v>
      </c>
      <c r="D138" s="7">
        <v>272</v>
      </c>
    </row>
    <row r="139" spans="1:4" x14ac:dyDescent="0.3">
      <c r="A139" s="30" t="s">
        <v>565</v>
      </c>
      <c r="B139" s="7">
        <v>3134</v>
      </c>
      <c r="C139" s="7">
        <v>21938</v>
      </c>
      <c r="D139" s="7">
        <v>130</v>
      </c>
    </row>
    <row r="140" spans="1:4" x14ac:dyDescent="0.3">
      <c r="A140" s="30"/>
      <c r="B140" s="7">
        <v>3008</v>
      </c>
      <c r="C140" s="7">
        <v>15040</v>
      </c>
      <c r="D140" s="7">
        <v>277</v>
      </c>
    </row>
    <row r="141" spans="1:4" x14ac:dyDescent="0.3">
      <c r="A141" s="30" t="s">
        <v>564</v>
      </c>
      <c r="B141" s="7">
        <v>305</v>
      </c>
      <c r="C141" s="7">
        <v>4575</v>
      </c>
      <c r="D141" s="7">
        <v>234</v>
      </c>
    </row>
    <row r="142" spans="1:4" x14ac:dyDescent="0.3">
      <c r="A142" s="30" t="s">
        <v>562</v>
      </c>
      <c r="B142" s="7">
        <v>2746</v>
      </c>
      <c r="C142" s="7">
        <v>32952</v>
      </c>
      <c r="D142" s="7">
        <v>147</v>
      </c>
    </row>
    <row r="143" spans="1:4" x14ac:dyDescent="0.3">
      <c r="A143" s="30" t="s">
        <v>563</v>
      </c>
      <c r="B143" s="7">
        <v>2291</v>
      </c>
      <c r="C143" s="7">
        <v>18328</v>
      </c>
      <c r="D143" s="7">
        <v>10</v>
      </c>
    </row>
    <row r="144" spans="1:4" x14ac:dyDescent="0.3">
      <c r="A144" s="30"/>
      <c r="B144" s="7">
        <v>3170</v>
      </c>
      <c r="C144" s="7">
        <v>19020</v>
      </c>
      <c r="D144" s="7">
        <v>240</v>
      </c>
    </row>
    <row r="145" spans="1:4" x14ac:dyDescent="0.3">
      <c r="A145" s="30" t="s">
        <v>565</v>
      </c>
      <c r="B145" s="7">
        <v>2070</v>
      </c>
      <c r="C145" s="7">
        <v>39330</v>
      </c>
      <c r="D145" s="7">
        <v>114</v>
      </c>
    </row>
    <row r="146" spans="1:4" x14ac:dyDescent="0.3">
      <c r="A146" s="30" t="s">
        <v>564</v>
      </c>
      <c r="B146" s="7">
        <v>80</v>
      </c>
      <c r="C146" s="7">
        <v>1040</v>
      </c>
      <c r="D146" s="7">
        <v>117</v>
      </c>
    </row>
    <row r="147" spans="1:4" x14ac:dyDescent="0.3">
      <c r="A147" s="30" t="s">
        <v>565</v>
      </c>
      <c r="B147" s="7">
        <v>4929</v>
      </c>
      <c r="C147" s="7">
        <v>93651</v>
      </c>
      <c r="D147" s="7">
        <v>66</v>
      </c>
    </row>
    <row r="148" spans="1:4" x14ac:dyDescent="0.3">
      <c r="A148" s="30" t="s">
        <v>565</v>
      </c>
      <c r="B148" s="7">
        <v>1878</v>
      </c>
      <c r="C148" s="7">
        <v>37560</v>
      </c>
      <c r="D148" s="7">
        <v>142</v>
      </c>
    </row>
    <row r="149" spans="1:4" x14ac:dyDescent="0.3">
      <c r="A149" s="30"/>
      <c r="B149" s="7">
        <v>3065</v>
      </c>
      <c r="C149" s="7">
        <v>18390</v>
      </c>
      <c r="D149" s="7">
        <v>200</v>
      </c>
    </row>
    <row r="150" spans="1:4" x14ac:dyDescent="0.3">
      <c r="A150" s="30" t="s">
        <v>563</v>
      </c>
      <c r="B150" s="7">
        <v>3256</v>
      </c>
      <c r="C150" s="7">
        <v>26048</v>
      </c>
      <c r="D150" s="7">
        <v>143</v>
      </c>
    </row>
    <row r="151" spans="1:4" x14ac:dyDescent="0.3">
      <c r="A151" s="30" t="s">
        <v>565</v>
      </c>
      <c r="B151" s="7">
        <v>4133</v>
      </c>
      <c r="C151" s="7">
        <v>24798</v>
      </c>
      <c r="D151" s="7">
        <v>176</v>
      </c>
    </row>
    <row r="152" spans="1:4" x14ac:dyDescent="0.3">
      <c r="A152" s="30" t="s">
        <v>562</v>
      </c>
      <c r="B152" s="7">
        <v>1702</v>
      </c>
      <c r="C152" s="7">
        <v>34040</v>
      </c>
      <c r="D152" s="7">
        <v>76</v>
      </c>
    </row>
    <row r="153" spans="1:4" x14ac:dyDescent="0.3">
      <c r="A153" s="30" t="s">
        <v>565</v>
      </c>
      <c r="B153" s="7">
        <v>4295</v>
      </c>
      <c r="C153" s="7">
        <v>85900</v>
      </c>
      <c r="D153" s="7">
        <v>290</v>
      </c>
    </row>
    <row r="154" spans="1:4" x14ac:dyDescent="0.3">
      <c r="A154" s="30" t="s">
        <v>562</v>
      </c>
      <c r="B154" s="7">
        <v>3559</v>
      </c>
      <c r="C154" s="7">
        <v>35590</v>
      </c>
      <c r="D154" s="7">
        <v>122</v>
      </c>
    </row>
    <row r="155" spans="1:4" x14ac:dyDescent="0.3">
      <c r="A155" s="30" t="s">
        <v>565</v>
      </c>
      <c r="B155" s="7">
        <v>4804</v>
      </c>
      <c r="C155" s="7">
        <v>28824</v>
      </c>
      <c r="D155" s="7">
        <v>47</v>
      </c>
    </row>
    <row r="156" spans="1:4" x14ac:dyDescent="0.3">
      <c r="A156" s="30" t="s">
        <v>564</v>
      </c>
      <c r="B156" s="7">
        <v>754</v>
      </c>
      <c r="C156" s="7">
        <v>6786</v>
      </c>
      <c r="D156" s="7">
        <v>212</v>
      </c>
    </row>
    <row r="157" spans="1:4" x14ac:dyDescent="0.3">
      <c r="A157" s="30" t="s">
        <v>565</v>
      </c>
      <c r="B157" s="7">
        <v>985</v>
      </c>
      <c r="C157" s="7">
        <v>6895</v>
      </c>
      <c r="D157" s="7">
        <v>64</v>
      </c>
    </row>
    <row r="158" spans="1:4" x14ac:dyDescent="0.3">
      <c r="A158" s="30" t="s">
        <v>563</v>
      </c>
      <c r="B158" s="7">
        <v>2283</v>
      </c>
      <c r="C158" s="7">
        <v>22830</v>
      </c>
      <c r="D158" s="7">
        <v>143</v>
      </c>
    </row>
    <row r="159" spans="1:4" x14ac:dyDescent="0.3">
      <c r="A159" s="30" t="s">
        <v>563</v>
      </c>
      <c r="B159" s="7">
        <v>3352</v>
      </c>
      <c r="C159" s="7">
        <v>43576</v>
      </c>
      <c r="D159" s="7">
        <v>240</v>
      </c>
    </row>
    <row r="160" spans="1:4" x14ac:dyDescent="0.3">
      <c r="A160" s="30" t="s">
        <v>563</v>
      </c>
      <c r="B160" s="7">
        <v>4775</v>
      </c>
      <c r="C160" s="7">
        <v>47750</v>
      </c>
      <c r="D160" s="7">
        <v>187</v>
      </c>
    </row>
    <row r="161" spans="1:4" x14ac:dyDescent="0.3">
      <c r="A161" s="30" t="s">
        <v>562</v>
      </c>
      <c r="B161" s="7">
        <v>1762</v>
      </c>
      <c r="C161" s="7">
        <v>22906</v>
      </c>
      <c r="D161" s="7">
        <v>25</v>
      </c>
    </row>
    <row r="162" spans="1:4" x14ac:dyDescent="0.3">
      <c r="A162" s="30" t="s">
        <v>563</v>
      </c>
      <c r="B162" s="7">
        <v>2120</v>
      </c>
      <c r="C162" s="7">
        <v>12720</v>
      </c>
      <c r="D162" s="7">
        <v>17</v>
      </c>
    </row>
    <row r="163" spans="1:4" x14ac:dyDescent="0.3">
      <c r="A163" s="30"/>
      <c r="B163" s="7">
        <v>1082</v>
      </c>
      <c r="C163" s="7">
        <v>19476</v>
      </c>
      <c r="D163" s="7">
        <v>20</v>
      </c>
    </row>
    <row r="164" spans="1:4" x14ac:dyDescent="0.3">
      <c r="A164" s="30" t="s">
        <v>565</v>
      </c>
      <c r="B164" s="7">
        <v>4671</v>
      </c>
      <c r="C164" s="7">
        <v>51381</v>
      </c>
      <c r="D164" s="7">
        <v>245</v>
      </c>
    </row>
    <row r="165" spans="1:4" x14ac:dyDescent="0.3">
      <c r="A165" s="30"/>
      <c r="B165" s="7">
        <v>3430</v>
      </c>
      <c r="C165" s="7">
        <v>48020</v>
      </c>
      <c r="D165" s="7">
        <v>120</v>
      </c>
    </row>
    <row r="166" spans="1:4" x14ac:dyDescent="0.3">
      <c r="A166" s="30" t="s">
        <v>563</v>
      </c>
      <c r="B166" s="7">
        <v>4501</v>
      </c>
      <c r="C166" s="7">
        <v>22505</v>
      </c>
      <c r="D166" s="7">
        <v>132</v>
      </c>
    </row>
    <row r="167" spans="1:4" x14ac:dyDescent="0.3">
      <c r="A167" s="30" t="s">
        <v>565</v>
      </c>
      <c r="B167" s="7">
        <v>4934</v>
      </c>
      <c r="C167" s="7">
        <v>39472</v>
      </c>
      <c r="D167" s="7">
        <v>169</v>
      </c>
    </row>
    <row r="168" spans="1:4" x14ac:dyDescent="0.3">
      <c r="A168" s="30" t="s">
        <v>563</v>
      </c>
      <c r="B168" s="7">
        <v>3239</v>
      </c>
      <c r="C168" s="7">
        <v>22673</v>
      </c>
      <c r="D168" s="7">
        <v>230</v>
      </c>
    </row>
    <row r="169" spans="1:4" x14ac:dyDescent="0.3">
      <c r="A169" s="30" t="s">
        <v>562</v>
      </c>
      <c r="B169" s="7">
        <v>1076</v>
      </c>
      <c r="C169" s="7">
        <v>11836</v>
      </c>
      <c r="D169" s="7">
        <v>104</v>
      </c>
    </row>
    <row r="170" spans="1:4" x14ac:dyDescent="0.3">
      <c r="A170" s="30"/>
      <c r="B170" s="7">
        <v>4771</v>
      </c>
      <c r="C170" s="7">
        <v>57252</v>
      </c>
      <c r="D170" s="7">
        <v>150</v>
      </c>
    </row>
    <row r="171" spans="1:4" x14ac:dyDescent="0.3">
      <c r="A171" s="30" t="s">
        <v>562</v>
      </c>
      <c r="B171" s="7">
        <v>2418</v>
      </c>
      <c r="C171" s="7">
        <v>43524</v>
      </c>
      <c r="D171" s="7">
        <v>182</v>
      </c>
    </row>
    <row r="172" spans="1:4" x14ac:dyDescent="0.3">
      <c r="A172" s="30" t="s">
        <v>562</v>
      </c>
      <c r="B172" s="7">
        <v>3809</v>
      </c>
      <c r="C172" s="7">
        <v>34281</v>
      </c>
      <c r="D172" s="7">
        <v>83</v>
      </c>
    </row>
    <row r="173" spans="1:4" x14ac:dyDescent="0.3">
      <c r="A173" s="30" t="s">
        <v>564</v>
      </c>
      <c r="B173" s="7">
        <v>3577</v>
      </c>
      <c r="C173" s="7">
        <v>67963</v>
      </c>
      <c r="D173" s="7">
        <v>53</v>
      </c>
    </row>
    <row r="174" spans="1:4" x14ac:dyDescent="0.3">
      <c r="A174" s="30" t="s">
        <v>563</v>
      </c>
      <c r="B174" s="7">
        <v>1018</v>
      </c>
      <c r="C174" s="7">
        <v>18324</v>
      </c>
      <c r="D174" s="7">
        <v>38</v>
      </c>
    </row>
    <row r="175" spans="1:4" x14ac:dyDescent="0.3">
      <c r="A175" s="30" t="s">
        <v>564</v>
      </c>
      <c r="B175" s="7">
        <v>3073</v>
      </c>
      <c r="C175" s="7">
        <v>52241</v>
      </c>
      <c r="D175" s="7">
        <v>246</v>
      </c>
    </row>
    <row r="176" spans="1:4" x14ac:dyDescent="0.3">
      <c r="A176" s="30" t="s">
        <v>564</v>
      </c>
      <c r="B176" s="7">
        <v>1330</v>
      </c>
      <c r="C176" s="7">
        <v>15960</v>
      </c>
      <c r="D176" s="7">
        <v>229</v>
      </c>
    </row>
    <row r="177" spans="1:4" x14ac:dyDescent="0.3">
      <c r="A177" s="30"/>
      <c r="B177" s="7">
        <v>3828</v>
      </c>
      <c r="C177" s="7">
        <v>30624</v>
      </c>
      <c r="D177" s="7">
        <v>235</v>
      </c>
    </row>
    <row r="178" spans="1:4" x14ac:dyDescent="0.3">
      <c r="A178" s="30" t="s">
        <v>565</v>
      </c>
      <c r="B178" s="7">
        <v>142</v>
      </c>
      <c r="C178" s="7">
        <v>1704</v>
      </c>
      <c r="D178" s="7">
        <v>154</v>
      </c>
    </row>
    <row r="179" spans="1:4" x14ac:dyDescent="0.3">
      <c r="A179" s="30" t="s">
        <v>562</v>
      </c>
      <c r="B179" s="7">
        <v>3798</v>
      </c>
      <c r="C179" s="7">
        <v>75960</v>
      </c>
      <c r="D179" s="7">
        <v>266</v>
      </c>
    </row>
    <row r="180" spans="1:4" x14ac:dyDescent="0.3">
      <c r="A180" s="30" t="s">
        <v>564</v>
      </c>
      <c r="B180" s="7">
        <v>3099</v>
      </c>
      <c r="C180" s="7">
        <v>43386</v>
      </c>
      <c r="D180" s="7">
        <v>52</v>
      </c>
    </row>
    <row r="181" spans="1:4" x14ac:dyDescent="0.3">
      <c r="A181" s="30" t="s">
        <v>565</v>
      </c>
      <c r="B181" s="7">
        <v>129</v>
      </c>
      <c r="C181" s="7">
        <v>1290</v>
      </c>
      <c r="D181" s="7">
        <v>238</v>
      </c>
    </row>
    <row r="182" spans="1:4" x14ac:dyDescent="0.3">
      <c r="A182" s="30"/>
      <c r="B182" s="7">
        <v>3796</v>
      </c>
      <c r="C182" s="7">
        <v>64532</v>
      </c>
      <c r="D182" s="7">
        <v>292</v>
      </c>
    </row>
    <row r="183" spans="1:4" x14ac:dyDescent="0.3">
      <c r="A183" s="30" t="s">
        <v>562</v>
      </c>
      <c r="B183" s="7">
        <v>3711</v>
      </c>
      <c r="C183" s="7">
        <v>48243</v>
      </c>
      <c r="D183" s="7">
        <v>11</v>
      </c>
    </row>
    <row r="184" spans="1:4" x14ac:dyDescent="0.3">
      <c r="A184" s="30" t="s">
        <v>564</v>
      </c>
      <c r="B184" s="7">
        <v>606</v>
      </c>
      <c r="C184" s="7">
        <v>7878</v>
      </c>
      <c r="D184" s="7">
        <v>239</v>
      </c>
    </row>
    <row r="185" spans="1:4" x14ac:dyDescent="0.3">
      <c r="A185" s="30" t="s">
        <v>565</v>
      </c>
      <c r="B185" s="7">
        <v>4689</v>
      </c>
      <c r="C185" s="7">
        <v>51579</v>
      </c>
      <c r="D185" s="7">
        <v>173</v>
      </c>
    </row>
    <row r="186" spans="1:4" x14ac:dyDescent="0.3">
      <c r="A186" s="30" t="s">
        <v>563</v>
      </c>
      <c r="B186" s="7">
        <v>360</v>
      </c>
      <c r="C186" s="7">
        <v>4680</v>
      </c>
      <c r="D186" s="7">
        <v>208</v>
      </c>
    </row>
    <row r="187" spans="1:4" x14ac:dyDescent="0.3">
      <c r="A187" s="30" t="s">
        <v>562</v>
      </c>
      <c r="B187" s="7">
        <v>3215</v>
      </c>
      <c r="C187" s="7">
        <v>32150</v>
      </c>
      <c r="D187" s="7">
        <v>251</v>
      </c>
    </row>
    <row r="188" spans="1:4" x14ac:dyDescent="0.3">
      <c r="A188" s="30"/>
      <c r="B188" s="7">
        <v>4523</v>
      </c>
      <c r="C188" s="7">
        <v>49753</v>
      </c>
      <c r="D188" s="7">
        <v>71</v>
      </c>
    </row>
    <row r="189" spans="1:4" x14ac:dyDescent="0.3">
      <c r="A189" s="30" t="s">
        <v>564</v>
      </c>
      <c r="B189" s="7">
        <v>4292</v>
      </c>
      <c r="C189" s="7">
        <v>55796</v>
      </c>
      <c r="D189" s="7">
        <v>264</v>
      </c>
    </row>
    <row r="190" spans="1:4" x14ac:dyDescent="0.3">
      <c r="A190" s="30" t="s">
        <v>564</v>
      </c>
      <c r="B190" s="7">
        <v>1644</v>
      </c>
      <c r="C190" s="7">
        <v>27948</v>
      </c>
      <c r="D190" s="7">
        <v>300</v>
      </c>
    </row>
    <row r="191" spans="1:4" x14ac:dyDescent="0.3">
      <c r="A191" s="30" t="s">
        <v>563</v>
      </c>
      <c r="B191" s="7">
        <v>2728</v>
      </c>
      <c r="C191" s="7">
        <v>40920</v>
      </c>
      <c r="D191" s="7">
        <v>137</v>
      </c>
    </row>
    <row r="192" spans="1:4" x14ac:dyDescent="0.3">
      <c r="A192" s="30" t="s">
        <v>562</v>
      </c>
      <c r="B192" s="7">
        <v>3360</v>
      </c>
      <c r="C192" s="7">
        <v>60480</v>
      </c>
      <c r="D192" s="7">
        <v>192</v>
      </c>
    </row>
    <row r="193" spans="1:4" x14ac:dyDescent="0.3">
      <c r="A193" s="30"/>
      <c r="B193" s="7">
        <v>1963</v>
      </c>
      <c r="C193" s="7">
        <v>39260</v>
      </c>
      <c r="D193" s="7">
        <v>145</v>
      </c>
    </row>
    <row r="194" spans="1:4" x14ac:dyDescent="0.3">
      <c r="A194" s="30" t="s">
        <v>564</v>
      </c>
      <c r="B194" s="7">
        <v>4285</v>
      </c>
      <c r="C194" s="7">
        <v>55705</v>
      </c>
      <c r="D194" s="7">
        <v>51</v>
      </c>
    </row>
    <row r="195" spans="1:4" x14ac:dyDescent="0.3">
      <c r="A195" s="30"/>
      <c r="B195" s="7">
        <v>1176</v>
      </c>
      <c r="C195" s="7">
        <v>14112</v>
      </c>
      <c r="D195" s="7">
        <v>272</v>
      </c>
    </row>
    <row r="196" spans="1:4" x14ac:dyDescent="0.3">
      <c r="A196" s="30" t="s">
        <v>564</v>
      </c>
      <c r="B196" s="7">
        <v>4858</v>
      </c>
      <c r="C196" s="7">
        <v>53438</v>
      </c>
      <c r="D196" s="7">
        <v>223</v>
      </c>
    </row>
    <row r="197" spans="1:4" x14ac:dyDescent="0.3">
      <c r="A197" s="30" t="s">
        <v>562</v>
      </c>
      <c r="B197" s="7">
        <v>4350</v>
      </c>
      <c r="C197" s="7">
        <v>60900</v>
      </c>
      <c r="D197" s="7">
        <v>195</v>
      </c>
    </row>
    <row r="198" spans="1:4" x14ac:dyDescent="0.3">
      <c r="A198" s="30" t="s">
        <v>565</v>
      </c>
      <c r="B198" s="7">
        <v>914</v>
      </c>
      <c r="C198" s="7">
        <v>11882</v>
      </c>
      <c r="D198" s="7">
        <v>282</v>
      </c>
    </row>
    <row r="199" spans="1:4" x14ac:dyDescent="0.3">
      <c r="A199" s="30" t="s">
        <v>564</v>
      </c>
      <c r="B199" s="7">
        <v>1813</v>
      </c>
      <c r="C199" s="7">
        <v>19943</v>
      </c>
      <c r="D199" s="7">
        <v>85</v>
      </c>
    </row>
    <row r="200" spans="1:4" x14ac:dyDescent="0.3">
      <c r="A200" s="30" t="s">
        <v>562</v>
      </c>
      <c r="B200" s="7">
        <v>4782</v>
      </c>
      <c r="C200" s="7">
        <v>86076</v>
      </c>
      <c r="D200" s="7">
        <v>19</v>
      </c>
    </row>
    <row r="201" spans="1:4" x14ac:dyDescent="0.3">
      <c r="A201" s="30" t="s">
        <v>564</v>
      </c>
      <c r="B201" s="7">
        <v>1048</v>
      </c>
      <c r="C201" s="7">
        <v>9432</v>
      </c>
      <c r="D201" s="7">
        <v>158</v>
      </c>
    </row>
    <row r="202" spans="1:4" x14ac:dyDescent="0.3">
      <c r="A202" s="30" t="s">
        <v>563</v>
      </c>
      <c r="B202" s="7">
        <v>2509</v>
      </c>
      <c r="C202" s="7">
        <v>35126</v>
      </c>
      <c r="D202" s="7">
        <v>277</v>
      </c>
    </row>
    <row r="203" spans="1:4" x14ac:dyDescent="0.3">
      <c r="A203" s="30" t="s">
        <v>563</v>
      </c>
      <c r="B203" s="7">
        <v>3718</v>
      </c>
      <c r="C203" s="7">
        <v>70642</v>
      </c>
      <c r="D203" s="7">
        <v>233</v>
      </c>
    </row>
    <row r="204" spans="1:4" x14ac:dyDescent="0.3">
      <c r="A204" s="30" t="s">
        <v>562</v>
      </c>
      <c r="B204" s="7">
        <v>802</v>
      </c>
      <c r="C204" s="7">
        <v>14436</v>
      </c>
      <c r="D204" s="7">
        <v>49</v>
      </c>
    </row>
    <row r="205" spans="1:4" x14ac:dyDescent="0.3">
      <c r="A205" s="30" t="s">
        <v>564</v>
      </c>
      <c r="B205" s="7">
        <v>1871</v>
      </c>
      <c r="C205" s="7">
        <v>29936</v>
      </c>
      <c r="D205" s="7">
        <v>288</v>
      </c>
    </row>
    <row r="206" spans="1:4" x14ac:dyDescent="0.3">
      <c r="A206" s="30" t="s">
        <v>562</v>
      </c>
      <c r="B206" s="7">
        <v>3773</v>
      </c>
      <c r="C206" s="7">
        <v>71687</v>
      </c>
      <c r="D206" s="7">
        <v>286</v>
      </c>
    </row>
    <row r="207" spans="1:4" x14ac:dyDescent="0.3">
      <c r="A207" s="30" t="s">
        <v>564</v>
      </c>
      <c r="B207" s="7">
        <v>2234</v>
      </c>
      <c r="C207" s="7">
        <v>11170</v>
      </c>
      <c r="D207" s="7">
        <v>198</v>
      </c>
    </row>
    <row r="208" spans="1:4" x14ac:dyDescent="0.3">
      <c r="A208" s="30" t="s">
        <v>565</v>
      </c>
      <c r="B208" s="7">
        <v>3820</v>
      </c>
      <c r="C208" s="7">
        <v>45840</v>
      </c>
      <c r="D208" s="7">
        <v>171</v>
      </c>
    </row>
    <row r="209" spans="1:4" x14ac:dyDescent="0.3">
      <c r="A209" s="30" t="s">
        <v>562</v>
      </c>
      <c r="B209" s="7">
        <v>941</v>
      </c>
      <c r="C209" s="7">
        <v>14115</v>
      </c>
      <c r="D209" s="7">
        <v>87</v>
      </c>
    </row>
    <row r="210" spans="1:4" x14ac:dyDescent="0.3">
      <c r="A210" s="30" t="s">
        <v>564</v>
      </c>
      <c r="B210" s="7">
        <v>4274</v>
      </c>
      <c r="C210" s="7">
        <v>34192</v>
      </c>
      <c r="D210" s="7">
        <v>129</v>
      </c>
    </row>
    <row r="211" spans="1:4" x14ac:dyDescent="0.3">
      <c r="A211" s="30" t="s">
        <v>563</v>
      </c>
      <c r="B211" s="7">
        <v>2949</v>
      </c>
      <c r="C211" s="7">
        <v>44235</v>
      </c>
      <c r="D211" s="7">
        <v>135</v>
      </c>
    </row>
    <row r="212" spans="1:4" x14ac:dyDescent="0.3">
      <c r="A212" s="30" t="s">
        <v>565</v>
      </c>
      <c r="B212" s="7">
        <v>3160</v>
      </c>
      <c r="C212" s="7">
        <v>44240</v>
      </c>
      <c r="D212" s="7">
        <v>49</v>
      </c>
    </row>
    <row r="213" spans="1:4" x14ac:dyDescent="0.3">
      <c r="A213" s="30" t="s">
        <v>562</v>
      </c>
      <c r="B213" s="7">
        <v>257</v>
      </c>
      <c r="C213" s="7">
        <v>3341</v>
      </c>
      <c r="D213" s="7">
        <v>287</v>
      </c>
    </row>
    <row r="214" spans="1:4" x14ac:dyDescent="0.3">
      <c r="A214" s="30" t="s">
        <v>565</v>
      </c>
      <c r="B214" s="7">
        <v>2120</v>
      </c>
      <c r="C214" s="7">
        <v>12720</v>
      </c>
      <c r="D214" s="7">
        <v>21</v>
      </c>
    </row>
    <row r="215" spans="1:4" x14ac:dyDescent="0.3">
      <c r="A215" s="30" t="s">
        <v>563</v>
      </c>
      <c r="B215" s="7">
        <v>3874</v>
      </c>
      <c r="C215" s="7">
        <v>38740</v>
      </c>
      <c r="D215" s="7">
        <v>219</v>
      </c>
    </row>
    <row r="216" spans="1:4" x14ac:dyDescent="0.3">
      <c r="A216" s="30" t="s">
        <v>565</v>
      </c>
      <c r="B216" s="7">
        <v>2696</v>
      </c>
      <c r="C216" s="7">
        <v>45832</v>
      </c>
      <c r="D216" s="7">
        <v>248</v>
      </c>
    </row>
    <row r="217" spans="1:4" x14ac:dyDescent="0.3">
      <c r="A217" s="30" t="s">
        <v>563</v>
      </c>
      <c r="B217" s="7">
        <v>521</v>
      </c>
      <c r="C217" s="7">
        <v>4168</v>
      </c>
      <c r="D217" s="7">
        <v>282</v>
      </c>
    </row>
    <row r="218" spans="1:4" x14ac:dyDescent="0.3">
      <c r="A218" s="30" t="s">
        <v>563</v>
      </c>
      <c r="B218" s="7">
        <v>4872</v>
      </c>
      <c r="C218" s="7">
        <v>82824</v>
      </c>
      <c r="D218" s="7">
        <v>89</v>
      </c>
    </row>
    <row r="219" spans="1:4" x14ac:dyDescent="0.3">
      <c r="A219" s="30" t="s">
        <v>563</v>
      </c>
      <c r="B219" s="7">
        <v>1509</v>
      </c>
      <c r="C219" s="7">
        <v>30180</v>
      </c>
      <c r="D219" s="7">
        <v>119</v>
      </c>
    </row>
    <row r="220" spans="1:4" x14ac:dyDescent="0.3">
      <c r="A220" s="30"/>
      <c r="B220" s="7">
        <v>4606</v>
      </c>
      <c r="C220" s="7">
        <v>92120</v>
      </c>
      <c r="D220" s="7">
        <v>56</v>
      </c>
    </row>
    <row r="221" spans="1:4" x14ac:dyDescent="0.3">
      <c r="A221" s="30" t="s">
        <v>565</v>
      </c>
      <c r="B221" s="7">
        <v>1869</v>
      </c>
      <c r="C221" s="7">
        <v>14952</v>
      </c>
      <c r="D221" s="7">
        <v>275</v>
      </c>
    </row>
    <row r="222" spans="1:4" x14ac:dyDescent="0.3">
      <c r="A222" s="30" t="s">
        <v>565</v>
      </c>
      <c r="B222" s="7">
        <v>1188</v>
      </c>
      <c r="C222" s="7">
        <v>7128</v>
      </c>
      <c r="D222" s="7">
        <v>270</v>
      </c>
    </row>
    <row r="223" spans="1:4" x14ac:dyDescent="0.3">
      <c r="A223" s="30"/>
      <c r="B223" s="7">
        <v>84</v>
      </c>
      <c r="C223" s="7">
        <v>588</v>
      </c>
      <c r="D223" s="7">
        <v>12</v>
      </c>
    </row>
    <row r="224" spans="1:4" x14ac:dyDescent="0.3">
      <c r="A224" s="30"/>
      <c r="B224" s="7">
        <v>4453</v>
      </c>
      <c r="C224" s="7">
        <v>31171</v>
      </c>
      <c r="D224" s="7">
        <v>23</v>
      </c>
    </row>
    <row r="225" spans="1:4" x14ac:dyDescent="0.3">
      <c r="A225" s="30" t="s">
        <v>562</v>
      </c>
      <c r="B225" s="7">
        <v>1814</v>
      </c>
      <c r="C225" s="7">
        <v>25396</v>
      </c>
      <c r="D225" s="7">
        <v>39</v>
      </c>
    </row>
    <row r="226" spans="1:4" x14ac:dyDescent="0.3">
      <c r="A226" s="30"/>
      <c r="B226" s="7">
        <v>3338</v>
      </c>
      <c r="C226" s="7">
        <v>60084</v>
      </c>
      <c r="D226" s="7">
        <v>252</v>
      </c>
    </row>
    <row r="227" spans="1:4" x14ac:dyDescent="0.3">
      <c r="A227" s="30" t="s">
        <v>564</v>
      </c>
      <c r="B227" s="7">
        <v>602</v>
      </c>
      <c r="C227" s="7">
        <v>4214</v>
      </c>
      <c r="D227" s="7">
        <v>164</v>
      </c>
    </row>
    <row r="228" spans="1:4" x14ac:dyDescent="0.3">
      <c r="A228" s="30"/>
      <c r="B228" s="7">
        <v>4672</v>
      </c>
      <c r="C228" s="7">
        <v>88768</v>
      </c>
      <c r="D228" s="7">
        <v>118</v>
      </c>
    </row>
    <row r="229" spans="1:4" x14ac:dyDescent="0.3">
      <c r="A229" s="30"/>
      <c r="B229" s="7">
        <v>1741</v>
      </c>
      <c r="C229" s="7">
        <v>8705</v>
      </c>
      <c r="D229" s="7">
        <v>121</v>
      </c>
    </row>
    <row r="230" spans="1:4" x14ac:dyDescent="0.3">
      <c r="A230" s="30" t="s">
        <v>564</v>
      </c>
      <c r="B230" s="7">
        <v>246</v>
      </c>
      <c r="C230" s="7">
        <v>4674</v>
      </c>
      <c r="D230" s="7">
        <v>217</v>
      </c>
    </row>
    <row r="231" spans="1:4" x14ac:dyDescent="0.3">
      <c r="A231" s="30" t="s">
        <v>562</v>
      </c>
      <c r="B231" s="7">
        <v>4808</v>
      </c>
      <c r="C231" s="7">
        <v>72120</v>
      </c>
      <c r="D231" s="7">
        <v>195</v>
      </c>
    </row>
    <row r="232" spans="1:4" x14ac:dyDescent="0.3">
      <c r="A232" s="30"/>
      <c r="B232" s="7">
        <v>4799</v>
      </c>
      <c r="C232" s="7">
        <v>43191</v>
      </c>
      <c r="D232" s="7">
        <v>118</v>
      </c>
    </row>
    <row r="233" spans="1:4" x14ac:dyDescent="0.3">
      <c r="A233" s="30" t="s">
        <v>564</v>
      </c>
      <c r="B233" s="7">
        <v>3663</v>
      </c>
      <c r="C233" s="7">
        <v>51282</v>
      </c>
      <c r="D233" s="7">
        <v>84</v>
      </c>
    </row>
    <row r="234" spans="1:4" x14ac:dyDescent="0.3">
      <c r="A234" s="30" t="s">
        <v>562</v>
      </c>
      <c r="B234" s="7">
        <v>1430</v>
      </c>
      <c r="C234" s="7">
        <v>21450</v>
      </c>
      <c r="D234" s="7">
        <v>251</v>
      </c>
    </row>
    <row r="235" spans="1:4" x14ac:dyDescent="0.3">
      <c r="A235" s="30" t="s">
        <v>565</v>
      </c>
      <c r="B235" s="7">
        <v>249</v>
      </c>
      <c r="C235" s="7">
        <v>1494</v>
      </c>
      <c r="D235" s="7">
        <v>201</v>
      </c>
    </row>
    <row r="236" spans="1:4" x14ac:dyDescent="0.3">
      <c r="A236" s="30" t="s">
        <v>565</v>
      </c>
      <c r="B236" s="7">
        <v>2382</v>
      </c>
      <c r="C236" s="7">
        <v>38112</v>
      </c>
      <c r="D236" s="7">
        <v>249</v>
      </c>
    </row>
    <row r="237" spans="1:4" x14ac:dyDescent="0.3">
      <c r="A237" s="30"/>
      <c r="B237" s="7">
        <v>1272</v>
      </c>
      <c r="C237" s="7">
        <v>24168</v>
      </c>
      <c r="D237" s="7">
        <v>42</v>
      </c>
    </row>
    <row r="238" spans="1:4" x14ac:dyDescent="0.3">
      <c r="A238" s="30" t="s">
        <v>564</v>
      </c>
      <c r="B238" s="7">
        <v>3196</v>
      </c>
      <c r="C238" s="7">
        <v>35156</v>
      </c>
      <c r="D238" s="7">
        <v>241</v>
      </c>
    </row>
    <row r="239" spans="1:4" x14ac:dyDescent="0.3">
      <c r="A239" s="30" t="s">
        <v>563</v>
      </c>
      <c r="B239" s="7">
        <v>1257</v>
      </c>
      <c r="C239" s="7">
        <v>12570</v>
      </c>
      <c r="D239" s="7">
        <v>194</v>
      </c>
    </row>
    <row r="240" spans="1:4" x14ac:dyDescent="0.3">
      <c r="A240" s="30" t="s">
        <v>562</v>
      </c>
      <c r="B240" s="7">
        <v>3770</v>
      </c>
      <c r="C240" s="7">
        <v>71630</v>
      </c>
      <c r="D240" s="7">
        <v>76</v>
      </c>
    </row>
    <row r="241" spans="1:4" x14ac:dyDescent="0.3">
      <c r="A241" s="30" t="s">
        <v>565</v>
      </c>
      <c r="B241" s="7">
        <v>4725</v>
      </c>
      <c r="C241" s="7">
        <v>75600</v>
      </c>
      <c r="D241" s="7">
        <v>43</v>
      </c>
    </row>
    <row r="242" spans="1:4" x14ac:dyDescent="0.3">
      <c r="A242" s="30"/>
      <c r="B242" s="7">
        <v>4188</v>
      </c>
      <c r="C242" s="7">
        <v>20940</v>
      </c>
      <c r="D242" s="7">
        <v>102</v>
      </c>
    </row>
    <row r="243" spans="1:4" x14ac:dyDescent="0.3">
      <c r="A243" s="30" t="s">
        <v>564</v>
      </c>
      <c r="B243" s="7">
        <v>929</v>
      </c>
      <c r="C243" s="7">
        <v>16722</v>
      </c>
      <c r="D243" s="7">
        <v>145</v>
      </c>
    </row>
    <row r="244" spans="1:4" x14ac:dyDescent="0.3">
      <c r="A244" s="30" t="s">
        <v>565</v>
      </c>
      <c r="B244" s="7">
        <v>4321</v>
      </c>
      <c r="C244" s="7">
        <v>30247</v>
      </c>
      <c r="D244" s="7">
        <v>122</v>
      </c>
    </row>
    <row r="245" spans="1:4" x14ac:dyDescent="0.3">
      <c r="A245" s="30" t="s">
        <v>564</v>
      </c>
      <c r="B245" s="7">
        <v>4767</v>
      </c>
      <c r="C245" s="7">
        <v>28602</v>
      </c>
      <c r="D245" s="7">
        <v>210</v>
      </c>
    </row>
    <row r="246" spans="1:4" x14ac:dyDescent="0.3">
      <c r="A246" s="30" t="s">
        <v>565</v>
      </c>
      <c r="B246" s="7">
        <v>3592</v>
      </c>
      <c r="C246" s="7">
        <v>50288</v>
      </c>
      <c r="D246" s="7">
        <v>32</v>
      </c>
    </row>
    <row r="247" spans="1:4" x14ac:dyDescent="0.3">
      <c r="A247" s="30" t="s">
        <v>564</v>
      </c>
      <c r="B247" s="7">
        <v>4661</v>
      </c>
      <c r="C247" s="7">
        <v>23305</v>
      </c>
      <c r="D247" s="7">
        <v>63</v>
      </c>
    </row>
    <row r="248" spans="1:4" x14ac:dyDescent="0.3">
      <c r="A248" s="30" t="s">
        <v>562</v>
      </c>
      <c r="B248" s="7">
        <v>4134</v>
      </c>
      <c r="C248" s="7">
        <v>41340</v>
      </c>
      <c r="D248" s="7">
        <v>177</v>
      </c>
    </row>
    <row r="249" spans="1:4" x14ac:dyDescent="0.3">
      <c r="A249" s="30" t="s">
        <v>563</v>
      </c>
      <c r="B249" s="7">
        <v>400</v>
      </c>
      <c r="C249" s="7">
        <v>6400</v>
      </c>
      <c r="D249" s="7">
        <v>160</v>
      </c>
    </row>
    <row r="250" spans="1:4" x14ac:dyDescent="0.3">
      <c r="A250" s="30"/>
      <c r="B250" s="7">
        <v>3960</v>
      </c>
      <c r="C250" s="7">
        <v>35640</v>
      </c>
      <c r="D250" s="7">
        <v>208</v>
      </c>
    </row>
    <row r="251" spans="1:4" x14ac:dyDescent="0.3">
      <c r="A251" s="30"/>
      <c r="B251" s="7">
        <v>886</v>
      </c>
      <c r="C251" s="7">
        <v>4430</v>
      </c>
      <c r="D251" s="7">
        <v>212</v>
      </c>
    </row>
    <row r="252" spans="1:4" x14ac:dyDescent="0.3">
      <c r="A252" s="30" t="s">
        <v>563</v>
      </c>
      <c r="B252" s="7">
        <v>827</v>
      </c>
      <c r="C252" s="7">
        <v>14886</v>
      </c>
      <c r="D252" s="7">
        <v>254</v>
      </c>
    </row>
    <row r="253" spans="1:4" x14ac:dyDescent="0.3">
      <c r="A253" s="30"/>
      <c r="B253" s="7">
        <v>3813</v>
      </c>
      <c r="C253" s="7">
        <v>68634</v>
      </c>
      <c r="D253" s="7">
        <v>251</v>
      </c>
    </row>
    <row r="254" spans="1:4" x14ac:dyDescent="0.3">
      <c r="A254" s="30"/>
      <c r="B254" s="7">
        <v>1377</v>
      </c>
      <c r="C254" s="7">
        <v>22032</v>
      </c>
      <c r="D254" s="7">
        <v>189</v>
      </c>
    </row>
    <row r="255" spans="1:4" x14ac:dyDescent="0.3">
      <c r="A255" s="30" t="s">
        <v>564</v>
      </c>
      <c r="B255" s="7">
        <v>2089</v>
      </c>
      <c r="C255" s="7">
        <v>16712</v>
      </c>
      <c r="D255" s="7">
        <v>64</v>
      </c>
    </row>
    <row r="256" spans="1:4" x14ac:dyDescent="0.3">
      <c r="A256" s="30"/>
      <c r="B256" s="7">
        <v>3791</v>
      </c>
      <c r="C256" s="7">
        <v>53074</v>
      </c>
      <c r="D256" s="7">
        <v>205</v>
      </c>
    </row>
    <row r="257" spans="1:4" x14ac:dyDescent="0.3">
      <c r="A257" s="30" t="s">
        <v>563</v>
      </c>
      <c r="B257" s="7">
        <v>2692</v>
      </c>
      <c r="C257" s="7">
        <v>21536</v>
      </c>
      <c r="D257" s="7">
        <v>224</v>
      </c>
    </row>
    <row r="258" spans="1:4" x14ac:dyDescent="0.3">
      <c r="A258" s="30" t="s">
        <v>565</v>
      </c>
      <c r="B258" s="7">
        <v>3767</v>
      </c>
      <c r="C258" s="7">
        <v>37670</v>
      </c>
      <c r="D258" s="7">
        <v>226</v>
      </c>
    </row>
    <row r="259" spans="1:4" x14ac:dyDescent="0.3">
      <c r="A259" s="30" t="s">
        <v>563</v>
      </c>
      <c r="B259" s="7">
        <v>2143</v>
      </c>
      <c r="C259" s="7">
        <v>40717</v>
      </c>
      <c r="D259" s="7">
        <v>248</v>
      </c>
    </row>
    <row r="260" spans="1:4" x14ac:dyDescent="0.3">
      <c r="A260" s="30" t="s">
        <v>563</v>
      </c>
      <c r="B260" s="7">
        <v>3090</v>
      </c>
      <c r="C260" s="7">
        <v>49440</v>
      </c>
      <c r="D260" s="7">
        <v>25</v>
      </c>
    </row>
    <row r="261" spans="1:4" x14ac:dyDescent="0.3">
      <c r="A261" s="30" t="s">
        <v>563</v>
      </c>
      <c r="B261" s="7">
        <v>3601</v>
      </c>
      <c r="C261" s="7">
        <v>21606</v>
      </c>
      <c r="D261" s="7">
        <v>172</v>
      </c>
    </row>
    <row r="262" spans="1:4" x14ac:dyDescent="0.3">
      <c r="A262" s="30" t="s">
        <v>562</v>
      </c>
      <c r="B262" s="7">
        <v>562</v>
      </c>
      <c r="C262" s="7">
        <v>3372</v>
      </c>
      <c r="D262" s="7">
        <v>93</v>
      </c>
    </row>
    <row r="263" spans="1:4" x14ac:dyDescent="0.3">
      <c r="A263" s="30" t="s">
        <v>564</v>
      </c>
      <c r="B263" s="7">
        <v>4332</v>
      </c>
      <c r="C263" s="7">
        <v>60648</v>
      </c>
      <c r="D263" s="7">
        <v>10</v>
      </c>
    </row>
    <row r="264" spans="1:4" x14ac:dyDescent="0.3">
      <c r="A264" s="30" t="s">
        <v>562</v>
      </c>
      <c r="B264" s="7">
        <v>4853</v>
      </c>
      <c r="C264" s="7">
        <v>72795</v>
      </c>
      <c r="D264" s="7">
        <v>170</v>
      </c>
    </row>
    <row r="265" spans="1:4" x14ac:dyDescent="0.3">
      <c r="A265" s="30"/>
      <c r="B265" s="7">
        <v>1206</v>
      </c>
      <c r="C265" s="7">
        <v>9648</v>
      </c>
      <c r="D265" s="7">
        <v>237</v>
      </c>
    </row>
    <row r="266" spans="1:4" x14ac:dyDescent="0.3">
      <c r="A266" s="30" t="s">
        <v>563</v>
      </c>
      <c r="B266" s="7">
        <v>2603</v>
      </c>
      <c r="C266" s="7">
        <v>13015</v>
      </c>
      <c r="D266" s="7">
        <v>20</v>
      </c>
    </row>
    <row r="267" spans="1:4" x14ac:dyDescent="0.3">
      <c r="A267" s="30" t="s">
        <v>563</v>
      </c>
      <c r="B267" s="7">
        <v>59</v>
      </c>
      <c r="C267" s="7">
        <v>590</v>
      </c>
      <c r="D267" s="7">
        <v>293</v>
      </c>
    </row>
    <row r="268" spans="1:4" x14ac:dyDescent="0.3">
      <c r="A268" s="30" t="s">
        <v>565</v>
      </c>
      <c r="B268" s="7">
        <v>1877</v>
      </c>
      <c r="C268" s="7">
        <v>11262</v>
      </c>
      <c r="D268" s="7">
        <v>41</v>
      </c>
    </row>
    <row r="269" spans="1:4" x14ac:dyDescent="0.3">
      <c r="A269" s="30" t="s">
        <v>564</v>
      </c>
      <c r="B269" s="7">
        <v>4182</v>
      </c>
      <c r="C269" s="7">
        <v>50184</v>
      </c>
      <c r="D269" s="7">
        <v>10</v>
      </c>
    </row>
    <row r="270" spans="1:4" x14ac:dyDescent="0.3">
      <c r="A270" s="30"/>
      <c r="B270" s="7">
        <v>4187</v>
      </c>
      <c r="C270" s="7">
        <v>66992</v>
      </c>
      <c r="D270" s="7">
        <v>62</v>
      </c>
    </row>
    <row r="271" spans="1:4" x14ac:dyDescent="0.3">
      <c r="A271" s="30" t="s">
        <v>562</v>
      </c>
      <c r="B271" s="7">
        <v>4579</v>
      </c>
      <c r="C271" s="7">
        <v>59527</v>
      </c>
      <c r="D271" s="7">
        <v>269</v>
      </c>
    </row>
    <row r="272" spans="1:4" x14ac:dyDescent="0.3">
      <c r="A272" s="30" t="s">
        <v>563</v>
      </c>
      <c r="B272" s="7">
        <v>4561</v>
      </c>
      <c r="C272" s="7">
        <v>22805</v>
      </c>
      <c r="D272" s="7">
        <v>45</v>
      </c>
    </row>
    <row r="273" spans="1:4" x14ac:dyDescent="0.3">
      <c r="A273" s="30" t="s">
        <v>564</v>
      </c>
      <c r="B273" s="7">
        <v>3774</v>
      </c>
      <c r="C273" s="7">
        <v>60384</v>
      </c>
      <c r="D273" s="7">
        <v>241</v>
      </c>
    </row>
    <row r="274" spans="1:4" x14ac:dyDescent="0.3">
      <c r="A274" s="30" t="s">
        <v>563</v>
      </c>
      <c r="B274" s="7">
        <v>3575</v>
      </c>
      <c r="C274" s="7">
        <v>21450</v>
      </c>
      <c r="D274" s="7">
        <v>195</v>
      </c>
    </row>
    <row r="275" spans="1:4" x14ac:dyDescent="0.3">
      <c r="A275" s="30" t="s">
        <v>564</v>
      </c>
      <c r="B275" s="7">
        <v>4941</v>
      </c>
      <c r="C275" s="7">
        <v>39528</v>
      </c>
      <c r="D275" s="7">
        <v>217</v>
      </c>
    </row>
    <row r="276" spans="1:4" x14ac:dyDescent="0.3">
      <c r="A276" s="30" t="s">
        <v>565</v>
      </c>
      <c r="B276" s="7">
        <v>3641</v>
      </c>
      <c r="C276" s="7">
        <v>40051</v>
      </c>
      <c r="D276" s="7">
        <v>296</v>
      </c>
    </row>
    <row r="277" spans="1:4" x14ac:dyDescent="0.3">
      <c r="A277" s="30" t="s">
        <v>565</v>
      </c>
      <c r="B277" s="7">
        <v>3535</v>
      </c>
      <c r="C277" s="7">
        <v>53025</v>
      </c>
      <c r="D277" s="7">
        <v>44</v>
      </c>
    </row>
    <row r="278" spans="1:4" x14ac:dyDescent="0.3">
      <c r="A278" s="30" t="s">
        <v>564</v>
      </c>
      <c r="B278" s="7">
        <v>1741</v>
      </c>
      <c r="C278" s="7">
        <v>17410</v>
      </c>
      <c r="D278" s="7">
        <v>58</v>
      </c>
    </row>
    <row r="279" spans="1:4" x14ac:dyDescent="0.3">
      <c r="A279" s="30" t="s">
        <v>563</v>
      </c>
      <c r="B279" s="7">
        <v>1556</v>
      </c>
      <c r="C279" s="7">
        <v>9336</v>
      </c>
      <c r="D279" s="7">
        <v>137</v>
      </c>
    </row>
    <row r="280" spans="1:4" x14ac:dyDescent="0.3">
      <c r="A280" s="30" t="s">
        <v>562</v>
      </c>
      <c r="B280" s="7">
        <v>4236</v>
      </c>
      <c r="C280" s="7">
        <v>21180</v>
      </c>
      <c r="D280" s="7">
        <v>238</v>
      </c>
    </row>
    <row r="281" spans="1:4" x14ac:dyDescent="0.3">
      <c r="A281" s="30" t="s">
        <v>565</v>
      </c>
      <c r="B281" s="7">
        <v>4516</v>
      </c>
      <c r="C281" s="7">
        <v>49676</v>
      </c>
      <c r="D281" s="7">
        <v>282</v>
      </c>
    </row>
    <row r="282" spans="1:4" x14ac:dyDescent="0.3">
      <c r="A282" s="30" t="s">
        <v>563</v>
      </c>
      <c r="B282" s="7">
        <v>4905</v>
      </c>
      <c r="C282" s="7">
        <v>98100</v>
      </c>
      <c r="D282" s="7">
        <v>279</v>
      </c>
    </row>
    <row r="283" spans="1:4" x14ac:dyDescent="0.3">
      <c r="A283" s="30" t="s">
        <v>565</v>
      </c>
      <c r="B283" s="7">
        <v>4275</v>
      </c>
      <c r="C283" s="7">
        <v>64125</v>
      </c>
      <c r="D283" s="7">
        <v>104</v>
      </c>
    </row>
    <row r="284" spans="1:4" x14ac:dyDescent="0.3">
      <c r="A284" s="30" t="s">
        <v>563</v>
      </c>
      <c r="B284" s="7">
        <v>3166</v>
      </c>
      <c r="C284" s="7">
        <v>56988</v>
      </c>
      <c r="D284" s="7">
        <v>135</v>
      </c>
    </row>
    <row r="285" spans="1:4" x14ac:dyDescent="0.3">
      <c r="A285" s="30" t="s">
        <v>564</v>
      </c>
      <c r="B285" s="7">
        <v>1488</v>
      </c>
      <c r="C285" s="7">
        <v>19344</v>
      </c>
      <c r="D285" s="7">
        <v>30</v>
      </c>
    </row>
    <row r="286" spans="1:4" x14ac:dyDescent="0.3">
      <c r="A286" s="30" t="s">
        <v>563</v>
      </c>
      <c r="B286" s="7">
        <v>3367</v>
      </c>
      <c r="C286" s="7">
        <v>63973</v>
      </c>
      <c r="D286" s="7">
        <v>157</v>
      </c>
    </row>
    <row r="287" spans="1:4" x14ac:dyDescent="0.3">
      <c r="A287" s="30" t="s">
        <v>565</v>
      </c>
      <c r="B287" s="7">
        <v>571</v>
      </c>
      <c r="C287" s="7">
        <v>9707</v>
      </c>
      <c r="D287" s="7">
        <v>231</v>
      </c>
    </row>
    <row r="288" spans="1:4" x14ac:dyDescent="0.3">
      <c r="A288" s="30"/>
      <c r="B288" s="7">
        <v>4021</v>
      </c>
      <c r="C288" s="7">
        <v>36189</v>
      </c>
      <c r="D288" s="7">
        <v>174</v>
      </c>
    </row>
    <row r="289" spans="1:4" x14ac:dyDescent="0.3">
      <c r="A289" s="30" t="s">
        <v>564</v>
      </c>
      <c r="B289" s="7">
        <v>3389</v>
      </c>
      <c r="C289" s="7">
        <v>20334</v>
      </c>
      <c r="D289" s="7">
        <v>228</v>
      </c>
    </row>
    <row r="290" spans="1:4" x14ac:dyDescent="0.3">
      <c r="A290" s="30" t="s">
        <v>562</v>
      </c>
      <c r="B290" s="7">
        <v>1164</v>
      </c>
      <c r="C290" s="7">
        <v>6984</v>
      </c>
      <c r="D290" s="7">
        <v>82</v>
      </c>
    </row>
    <row r="291" spans="1:4" x14ac:dyDescent="0.3">
      <c r="A291" s="30" t="s">
        <v>564</v>
      </c>
      <c r="B291" s="7">
        <v>4780</v>
      </c>
      <c r="C291" s="7">
        <v>86040</v>
      </c>
      <c r="D291" s="7">
        <v>262</v>
      </c>
    </row>
    <row r="292" spans="1:4" x14ac:dyDescent="0.3">
      <c r="A292" s="30"/>
      <c r="B292" s="7">
        <v>2751</v>
      </c>
      <c r="C292" s="7">
        <v>44016</v>
      </c>
      <c r="D292" s="7">
        <v>129</v>
      </c>
    </row>
    <row r="293" spans="1:4" x14ac:dyDescent="0.3">
      <c r="A293" s="30" t="s">
        <v>565</v>
      </c>
      <c r="B293" s="7">
        <v>2107</v>
      </c>
      <c r="C293" s="7">
        <v>35819</v>
      </c>
      <c r="D293" s="7">
        <v>191</v>
      </c>
    </row>
    <row r="294" spans="1:4" x14ac:dyDescent="0.3">
      <c r="A294" s="30" t="s">
        <v>565</v>
      </c>
      <c r="B294" s="7">
        <v>4663</v>
      </c>
      <c r="C294" s="7">
        <v>69945</v>
      </c>
      <c r="D294" s="7">
        <v>35</v>
      </c>
    </row>
    <row r="295" spans="1:4" x14ac:dyDescent="0.3">
      <c r="A295" s="30"/>
      <c r="B295" s="7">
        <v>880</v>
      </c>
      <c r="C295" s="7">
        <v>12320</v>
      </c>
      <c r="D295" s="7">
        <v>238</v>
      </c>
    </row>
    <row r="296" spans="1:4" x14ac:dyDescent="0.3">
      <c r="A296" s="30" t="s">
        <v>562</v>
      </c>
      <c r="B296" s="7">
        <v>2634</v>
      </c>
      <c r="C296" s="7">
        <v>28974</v>
      </c>
      <c r="D296" s="7">
        <v>277</v>
      </c>
    </row>
    <row r="297" spans="1:4" x14ac:dyDescent="0.3">
      <c r="A297" s="30" t="s">
        <v>564</v>
      </c>
      <c r="B297" s="7">
        <v>4731</v>
      </c>
      <c r="C297" s="7">
        <v>28386</v>
      </c>
      <c r="D297" s="7">
        <v>89</v>
      </c>
    </row>
    <row r="298" spans="1:4" x14ac:dyDescent="0.3">
      <c r="A298" s="30" t="s">
        <v>563</v>
      </c>
      <c r="B298" s="7">
        <v>1952</v>
      </c>
      <c r="C298" s="7">
        <v>15616</v>
      </c>
      <c r="D298" s="7">
        <v>235</v>
      </c>
    </row>
    <row r="299" spans="1:4" x14ac:dyDescent="0.3">
      <c r="A299" s="30" t="s">
        <v>565</v>
      </c>
      <c r="B299" s="7">
        <v>3440</v>
      </c>
      <c r="C299" s="7">
        <v>58480</v>
      </c>
      <c r="D299" s="7">
        <v>210</v>
      </c>
    </row>
    <row r="300" spans="1:4" x14ac:dyDescent="0.3">
      <c r="A300" s="30" t="s">
        <v>565</v>
      </c>
      <c r="B300" s="7">
        <v>2166</v>
      </c>
      <c r="C300" s="7">
        <v>10830</v>
      </c>
      <c r="D300" s="7">
        <v>24</v>
      </c>
    </row>
    <row r="301" spans="1:4" x14ac:dyDescent="0.3">
      <c r="A301" s="30" t="s">
        <v>564</v>
      </c>
      <c r="B301" s="7">
        <v>4303</v>
      </c>
      <c r="C301" s="7">
        <v>86060</v>
      </c>
      <c r="D301" s="7">
        <v>14</v>
      </c>
    </row>
    <row r="302" spans="1:4" x14ac:dyDescent="0.3">
      <c r="A302" s="30" t="s">
        <v>564</v>
      </c>
      <c r="B302" s="7">
        <v>2581</v>
      </c>
      <c r="C302" s="7">
        <v>23229</v>
      </c>
      <c r="D302" s="7">
        <v>70</v>
      </c>
    </row>
    <row r="303" spans="1:4" x14ac:dyDescent="0.3">
      <c r="A303" s="30" t="s">
        <v>562</v>
      </c>
      <c r="B303" s="7">
        <v>4494</v>
      </c>
      <c r="C303" s="7">
        <v>62916</v>
      </c>
      <c r="D303" s="7">
        <v>191</v>
      </c>
    </row>
  </sheetData>
  <pageMargins left="0.7" right="0.7" top="0.75" bottom="0.75" header="0.3" footer="0.3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08295-B98E-458C-A1ED-91AFD53E544C}">
  <dimension ref="A2:H306"/>
  <sheetViews>
    <sheetView workbookViewId="0">
      <selection activeCell="H10" sqref="H10"/>
    </sheetView>
  </sheetViews>
  <sheetFormatPr defaultRowHeight="14.4" x14ac:dyDescent="0.3"/>
  <cols>
    <col min="1" max="1" width="17.5546875" customWidth="1"/>
    <col min="2" max="2" width="14.5546875" customWidth="1"/>
    <col min="3" max="3" width="18" customWidth="1"/>
    <col min="4" max="4" width="18.33203125" customWidth="1"/>
    <col min="6" max="6" width="12.88671875" customWidth="1"/>
    <col min="8" max="8" width="15.109375" customWidth="1"/>
  </cols>
  <sheetData>
    <row r="2" spans="1:8" ht="18" x14ac:dyDescent="0.35">
      <c r="C2" s="1" t="s">
        <v>601</v>
      </c>
    </row>
    <row r="6" spans="1:8" ht="28.8" x14ac:dyDescent="0.3">
      <c r="A6" s="6" t="s">
        <v>568</v>
      </c>
      <c r="B6" s="6" t="s">
        <v>302</v>
      </c>
      <c r="C6" s="8" t="s">
        <v>561</v>
      </c>
      <c r="D6" s="8" t="s">
        <v>545</v>
      </c>
      <c r="E6" s="2" t="s">
        <v>304</v>
      </c>
      <c r="F6" s="8" t="s">
        <v>307</v>
      </c>
      <c r="G6" s="6" t="s">
        <v>309</v>
      </c>
      <c r="H6" s="33" t="s">
        <v>587</v>
      </c>
    </row>
    <row r="7" spans="1:8" x14ac:dyDescent="0.3">
      <c r="A7" s="30" t="s">
        <v>405</v>
      </c>
      <c r="B7" s="7" t="s">
        <v>312</v>
      </c>
      <c r="C7" s="30" t="s">
        <v>562</v>
      </c>
      <c r="D7" s="30">
        <v>8.06</v>
      </c>
      <c r="E7" s="3">
        <v>1461</v>
      </c>
      <c r="F7" s="7">
        <v>21915</v>
      </c>
      <c r="G7" s="7">
        <v>15</v>
      </c>
      <c r="H7" t="str">
        <f>IF(B7&lt;A7,"During","Before")</f>
        <v>Before</v>
      </c>
    </row>
    <row r="8" spans="1:8" x14ac:dyDescent="0.3">
      <c r="A8" s="30" t="s">
        <v>405</v>
      </c>
      <c r="B8" s="7" t="s">
        <v>314</v>
      </c>
      <c r="C8" s="30" t="s">
        <v>563</v>
      </c>
      <c r="D8" s="30">
        <v>4.9800000000000004</v>
      </c>
      <c r="E8" s="3">
        <v>4054</v>
      </c>
      <c r="F8" s="7">
        <v>64864</v>
      </c>
      <c r="G8" s="7">
        <v>117</v>
      </c>
      <c r="H8" t="str">
        <f t="shared" ref="H8:H71" si="0">IF(B8&lt;A8,"Before","During")</f>
        <v>During</v>
      </c>
    </row>
    <row r="9" spans="1:8" x14ac:dyDescent="0.3">
      <c r="A9" s="30" t="s">
        <v>405</v>
      </c>
      <c r="B9" s="7" t="s">
        <v>317</v>
      </c>
      <c r="C9" s="30" t="s">
        <v>564</v>
      </c>
      <c r="D9" s="30">
        <v>8.31</v>
      </c>
      <c r="E9" s="3">
        <v>2795</v>
      </c>
      <c r="F9" s="7">
        <v>53105</v>
      </c>
      <c r="G9" s="7">
        <v>204</v>
      </c>
      <c r="H9" t="str">
        <f t="shared" si="0"/>
        <v>During</v>
      </c>
    </row>
    <row r="10" spans="1:8" x14ac:dyDescent="0.3">
      <c r="A10" s="30" t="s">
        <v>405</v>
      </c>
      <c r="B10" s="7" t="s">
        <v>320</v>
      </c>
      <c r="C10" s="30" t="s">
        <v>565</v>
      </c>
      <c r="D10" s="30">
        <v>4.1100000000000003</v>
      </c>
      <c r="E10" s="3">
        <v>2404</v>
      </c>
      <c r="F10" s="7">
        <v>19232</v>
      </c>
      <c r="G10" s="7">
        <v>128</v>
      </c>
      <c r="H10" t="str">
        <f t="shared" si="0"/>
        <v>During</v>
      </c>
    </row>
    <row r="11" spans="1:8" x14ac:dyDescent="0.3">
      <c r="A11" s="30" t="s">
        <v>371</v>
      </c>
      <c r="B11" s="7" t="s">
        <v>323</v>
      </c>
      <c r="C11" s="30" t="s">
        <v>562</v>
      </c>
      <c r="D11" s="30">
        <v>9.0500000000000007</v>
      </c>
      <c r="E11" s="3">
        <v>3557</v>
      </c>
      <c r="F11" s="7">
        <v>71140</v>
      </c>
      <c r="G11" s="7">
        <v>224</v>
      </c>
      <c r="H11" t="str">
        <f t="shared" si="0"/>
        <v>During</v>
      </c>
    </row>
    <row r="12" spans="1:8" x14ac:dyDescent="0.3">
      <c r="A12" s="30" t="s">
        <v>371</v>
      </c>
      <c r="B12" s="7" t="s">
        <v>325</v>
      </c>
      <c r="C12" s="30" t="s">
        <v>563</v>
      </c>
      <c r="D12" s="30">
        <v>2.37</v>
      </c>
      <c r="E12" s="3">
        <v>2945</v>
      </c>
      <c r="F12" s="7">
        <v>23560</v>
      </c>
      <c r="G12" s="7">
        <v>256</v>
      </c>
      <c r="H12" t="str">
        <f t="shared" si="0"/>
        <v>During</v>
      </c>
    </row>
    <row r="13" spans="1:8" x14ac:dyDescent="0.3">
      <c r="A13" s="30" t="s">
        <v>371</v>
      </c>
      <c r="B13" s="7" t="s">
        <v>327</v>
      </c>
      <c r="C13" s="30" t="s">
        <v>563</v>
      </c>
      <c r="D13" s="30">
        <v>4.01</v>
      </c>
      <c r="E13" s="3">
        <v>3860</v>
      </c>
      <c r="F13" s="7">
        <v>61760</v>
      </c>
      <c r="G13" s="7">
        <v>235</v>
      </c>
      <c r="H13" t="str">
        <f t="shared" si="0"/>
        <v>During</v>
      </c>
    </row>
    <row r="14" spans="1:8" x14ac:dyDescent="0.3">
      <c r="A14" s="30" t="s">
        <v>371</v>
      </c>
      <c r="B14" s="7" t="s">
        <v>328</v>
      </c>
      <c r="C14" s="30" t="s">
        <v>565</v>
      </c>
      <c r="D14" s="30">
        <v>3.16</v>
      </c>
      <c r="E14" s="3">
        <v>3929</v>
      </c>
      <c r="F14" s="7">
        <v>43219</v>
      </c>
      <c r="G14" s="7">
        <v>39</v>
      </c>
      <c r="H14" t="str">
        <f t="shared" si="0"/>
        <v>During</v>
      </c>
    </row>
    <row r="15" spans="1:8" x14ac:dyDescent="0.3">
      <c r="A15" s="30" t="s">
        <v>376</v>
      </c>
      <c r="B15" s="7" t="s">
        <v>330</v>
      </c>
      <c r="C15" s="30" t="s">
        <v>563</v>
      </c>
      <c r="D15" s="30">
        <v>2.46</v>
      </c>
      <c r="E15" s="3">
        <v>3784</v>
      </c>
      <c r="F15" s="7">
        <v>56760</v>
      </c>
      <c r="G15" s="7">
        <v>131</v>
      </c>
      <c r="H15" t="str">
        <f t="shared" si="0"/>
        <v>During</v>
      </c>
    </row>
    <row r="16" spans="1:8" x14ac:dyDescent="0.3">
      <c r="A16" s="30" t="s">
        <v>376</v>
      </c>
      <c r="B16" s="7" t="s">
        <v>331</v>
      </c>
      <c r="C16" s="30" t="s">
        <v>563</v>
      </c>
      <c r="D16" s="30">
        <v>8.11</v>
      </c>
      <c r="E16" s="3">
        <v>4241</v>
      </c>
      <c r="F16" s="7">
        <v>72097</v>
      </c>
      <c r="G16" s="7">
        <v>167</v>
      </c>
      <c r="H16" t="str">
        <f t="shared" si="0"/>
        <v>During</v>
      </c>
    </row>
    <row r="17" spans="1:8" x14ac:dyDescent="0.3">
      <c r="A17" s="30" t="s">
        <v>376</v>
      </c>
      <c r="B17" s="7" t="s">
        <v>332</v>
      </c>
      <c r="C17" s="30" t="s">
        <v>565</v>
      </c>
      <c r="D17" s="30">
        <v>8.19</v>
      </c>
      <c r="E17" s="3">
        <v>1792</v>
      </c>
      <c r="F17" s="7">
        <v>25088</v>
      </c>
      <c r="G17" s="7">
        <v>65</v>
      </c>
      <c r="H17" t="str">
        <f t="shared" si="0"/>
        <v>During</v>
      </c>
    </row>
    <row r="18" spans="1:8" x14ac:dyDescent="0.3">
      <c r="A18" s="30" t="s">
        <v>376</v>
      </c>
      <c r="B18" s="7" t="s">
        <v>334</v>
      </c>
      <c r="C18" s="30" t="s">
        <v>564</v>
      </c>
      <c r="D18" s="30">
        <v>3.49</v>
      </c>
      <c r="E18" s="3">
        <v>1946</v>
      </c>
      <c r="F18" s="7">
        <v>23352</v>
      </c>
      <c r="G18" s="7">
        <v>213</v>
      </c>
      <c r="H18" t="str">
        <f t="shared" si="0"/>
        <v>During</v>
      </c>
    </row>
    <row r="19" spans="1:8" x14ac:dyDescent="0.3">
      <c r="A19" s="30" t="s">
        <v>327</v>
      </c>
      <c r="B19" s="7" t="s">
        <v>335</v>
      </c>
      <c r="C19" s="30" t="s">
        <v>562</v>
      </c>
      <c r="D19" s="30">
        <v>6.92</v>
      </c>
      <c r="E19" s="3">
        <v>1171</v>
      </c>
      <c r="F19" s="7">
        <v>22249</v>
      </c>
      <c r="G19" s="7">
        <v>114</v>
      </c>
      <c r="H19" t="str">
        <f t="shared" si="0"/>
        <v>During</v>
      </c>
    </row>
    <row r="20" spans="1:8" x14ac:dyDescent="0.3">
      <c r="A20" s="30" t="s">
        <v>327</v>
      </c>
      <c r="B20" s="7" t="s">
        <v>336</v>
      </c>
      <c r="C20" s="30"/>
      <c r="D20" s="30">
        <v>9.1199999999999992</v>
      </c>
      <c r="E20" s="3">
        <v>4242</v>
      </c>
      <c r="F20" s="7">
        <v>33936</v>
      </c>
      <c r="G20" s="7">
        <v>265</v>
      </c>
      <c r="H20" t="str">
        <f t="shared" si="0"/>
        <v>During</v>
      </c>
    </row>
    <row r="21" spans="1:8" x14ac:dyDescent="0.3">
      <c r="A21" s="30" t="s">
        <v>327</v>
      </c>
      <c r="B21" s="7" t="s">
        <v>337</v>
      </c>
      <c r="C21" s="30" t="s">
        <v>562</v>
      </c>
      <c r="D21" s="30">
        <v>3.5</v>
      </c>
      <c r="E21" s="3">
        <v>3888</v>
      </c>
      <c r="F21" s="7">
        <v>77760</v>
      </c>
      <c r="G21" s="7">
        <v>20</v>
      </c>
      <c r="H21" t="str">
        <f t="shared" si="0"/>
        <v>During</v>
      </c>
    </row>
    <row r="22" spans="1:8" x14ac:dyDescent="0.3">
      <c r="A22" s="30" t="s">
        <v>327</v>
      </c>
      <c r="B22" s="7" t="s">
        <v>339</v>
      </c>
      <c r="C22" s="30" t="s">
        <v>564</v>
      </c>
      <c r="D22" s="30">
        <v>2.62</v>
      </c>
      <c r="E22" s="3">
        <v>3452</v>
      </c>
      <c r="F22" s="7">
        <v>55232</v>
      </c>
      <c r="G22" s="7">
        <v>87</v>
      </c>
      <c r="H22" t="str">
        <f t="shared" si="0"/>
        <v>During</v>
      </c>
    </row>
    <row r="23" spans="1:8" x14ac:dyDescent="0.3">
      <c r="A23" s="30" t="s">
        <v>486</v>
      </c>
      <c r="B23" s="7" t="s">
        <v>340</v>
      </c>
      <c r="C23" s="30" t="s">
        <v>565</v>
      </c>
      <c r="D23" s="30">
        <v>9.36</v>
      </c>
      <c r="E23" s="3">
        <v>4441</v>
      </c>
      <c r="F23" s="7">
        <v>53292</v>
      </c>
      <c r="G23" s="7">
        <v>159</v>
      </c>
      <c r="H23" t="str">
        <f t="shared" si="0"/>
        <v>During</v>
      </c>
    </row>
    <row r="24" spans="1:8" x14ac:dyDescent="0.3">
      <c r="A24" s="30" t="s">
        <v>486</v>
      </c>
      <c r="B24" s="7" t="s">
        <v>341</v>
      </c>
      <c r="C24" s="30" t="s">
        <v>562</v>
      </c>
      <c r="D24" s="30">
        <v>4.4800000000000004</v>
      </c>
      <c r="E24" s="3">
        <v>3000</v>
      </c>
      <c r="F24" s="7">
        <v>36000</v>
      </c>
      <c r="G24" s="7">
        <v>19</v>
      </c>
      <c r="H24" t="str">
        <f t="shared" si="0"/>
        <v>During</v>
      </c>
    </row>
    <row r="25" spans="1:8" x14ac:dyDescent="0.3">
      <c r="A25" s="30" t="s">
        <v>486</v>
      </c>
      <c r="B25" s="7" t="s">
        <v>342</v>
      </c>
      <c r="C25" s="30" t="s">
        <v>565</v>
      </c>
      <c r="D25" s="30">
        <v>6.19</v>
      </c>
      <c r="E25" s="3">
        <v>1071</v>
      </c>
      <c r="F25" s="7">
        <v>16065</v>
      </c>
      <c r="G25" s="7">
        <v>103</v>
      </c>
      <c r="H25" t="str">
        <f t="shared" si="0"/>
        <v>Before</v>
      </c>
    </row>
    <row r="26" spans="1:8" x14ac:dyDescent="0.3">
      <c r="A26" s="30" t="s">
        <v>486</v>
      </c>
      <c r="B26" s="7" t="s">
        <v>343</v>
      </c>
      <c r="C26" s="30" t="s">
        <v>562</v>
      </c>
      <c r="D26" s="30">
        <v>8.7200000000000006</v>
      </c>
      <c r="E26" s="3">
        <v>4054</v>
      </c>
      <c r="F26" s="7">
        <v>77026</v>
      </c>
      <c r="G26" s="7">
        <v>25</v>
      </c>
      <c r="H26" t="str">
        <f t="shared" si="0"/>
        <v>During</v>
      </c>
    </row>
    <row r="27" spans="1:8" x14ac:dyDescent="0.3">
      <c r="A27" s="30" t="s">
        <v>569</v>
      </c>
      <c r="B27" s="7" t="s">
        <v>344</v>
      </c>
      <c r="C27" s="30" t="s">
        <v>565</v>
      </c>
      <c r="D27" s="30">
        <v>8.74</v>
      </c>
      <c r="E27" s="3">
        <v>4838</v>
      </c>
      <c r="F27" s="7">
        <v>72570</v>
      </c>
      <c r="G27" s="7">
        <v>83</v>
      </c>
      <c r="H27" t="str">
        <f t="shared" si="0"/>
        <v>During</v>
      </c>
    </row>
    <row r="28" spans="1:8" x14ac:dyDescent="0.3">
      <c r="A28" s="30" t="s">
        <v>569</v>
      </c>
      <c r="B28" s="7" t="s">
        <v>345</v>
      </c>
      <c r="C28" s="30" t="s">
        <v>565</v>
      </c>
      <c r="D28" s="30">
        <v>1.91</v>
      </c>
      <c r="E28" s="3">
        <v>1570</v>
      </c>
      <c r="F28" s="7">
        <v>25120</v>
      </c>
      <c r="G28" s="7">
        <v>133</v>
      </c>
      <c r="H28" t="str">
        <f t="shared" si="0"/>
        <v>During</v>
      </c>
    </row>
    <row r="29" spans="1:8" x14ac:dyDescent="0.3">
      <c r="A29" s="30" t="s">
        <v>569</v>
      </c>
      <c r="B29" s="7" t="s">
        <v>346</v>
      </c>
      <c r="C29" s="30" t="s">
        <v>563</v>
      </c>
      <c r="D29" s="30">
        <v>4.66</v>
      </c>
      <c r="E29" s="3">
        <v>1606</v>
      </c>
      <c r="F29" s="7">
        <v>32120</v>
      </c>
      <c r="G29" s="7">
        <v>225</v>
      </c>
      <c r="H29" t="str">
        <f t="shared" si="0"/>
        <v>During</v>
      </c>
    </row>
    <row r="30" spans="1:8" x14ac:dyDescent="0.3">
      <c r="A30" s="30" t="s">
        <v>569</v>
      </c>
      <c r="B30" s="7" t="s">
        <v>347</v>
      </c>
      <c r="C30" s="30" t="s">
        <v>564</v>
      </c>
      <c r="D30" s="30">
        <v>2.88</v>
      </c>
      <c r="E30" s="3">
        <v>3961</v>
      </c>
      <c r="F30" s="7">
        <v>67337</v>
      </c>
      <c r="G30" s="7">
        <v>161</v>
      </c>
      <c r="H30" t="str">
        <f t="shared" si="0"/>
        <v>During</v>
      </c>
    </row>
    <row r="31" spans="1:8" x14ac:dyDescent="0.3">
      <c r="A31" s="30" t="s">
        <v>438</v>
      </c>
      <c r="B31" s="7" t="s">
        <v>348</v>
      </c>
      <c r="C31" s="30"/>
      <c r="D31" s="30">
        <v>3.74</v>
      </c>
      <c r="E31" s="3">
        <v>3128</v>
      </c>
      <c r="F31" s="7">
        <v>59432</v>
      </c>
      <c r="G31" s="7">
        <v>238</v>
      </c>
      <c r="H31" t="str">
        <f t="shared" si="0"/>
        <v>During</v>
      </c>
    </row>
    <row r="32" spans="1:8" x14ac:dyDescent="0.3">
      <c r="A32" s="30" t="s">
        <v>438</v>
      </c>
      <c r="B32" s="7" t="s">
        <v>349</v>
      </c>
      <c r="C32" s="30" t="s">
        <v>563</v>
      </c>
      <c r="D32" s="30">
        <v>6.44</v>
      </c>
      <c r="E32" s="3">
        <v>3009</v>
      </c>
      <c r="F32" s="7">
        <v>42126</v>
      </c>
      <c r="G32" s="7">
        <v>211</v>
      </c>
      <c r="H32" t="str">
        <f t="shared" si="0"/>
        <v>During</v>
      </c>
    </row>
    <row r="33" spans="1:8" x14ac:dyDescent="0.3">
      <c r="A33" s="30" t="s">
        <v>438</v>
      </c>
      <c r="B33" s="7" t="s">
        <v>350</v>
      </c>
      <c r="C33" s="30" t="s">
        <v>565</v>
      </c>
      <c r="D33" s="30">
        <v>8.56</v>
      </c>
      <c r="E33" s="3">
        <v>2076</v>
      </c>
      <c r="F33" s="7">
        <v>33216</v>
      </c>
      <c r="G33" s="7">
        <v>51</v>
      </c>
      <c r="H33" t="str">
        <f t="shared" si="0"/>
        <v>During</v>
      </c>
    </row>
    <row r="34" spans="1:8" x14ac:dyDescent="0.3">
      <c r="A34" s="30" t="s">
        <v>438</v>
      </c>
      <c r="B34" s="7" t="s">
        <v>351</v>
      </c>
      <c r="C34" s="30" t="s">
        <v>565</v>
      </c>
      <c r="D34" s="30">
        <v>4.5599999999999996</v>
      </c>
      <c r="E34" s="3">
        <v>432</v>
      </c>
      <c r="F34" s="7">
        <v>6912</v>
      </c>
      <c r="G34" s="7">
        <v>79</v>
      </c>
      <c r="H34" t="str">
        <f t="shared" si="0"/>
        <v>During</v>
      </c>
    </row>
    <row r="35" spans="1:8" x14ac:dyDescent="0.3">
      <c r="A35" s="30" t="s">
        <v>570</v>
      </c>
      <c r="B35" s="7" t="s">
        <v>352</v>
      </c>
      <c r="C35" s="30" t="s">
        <v>564</v>
      </c>
      <c r="D35" s="30">
        <v>7.88</v>
      </c>
      <c r="E35" s="3">
        <v>2566</v>
      </c>
      <c r="F35" s="7">
        <v>12830</v>
      </c>
      <c r="G35" s="7">
        <v>221</v>
      </c>
      <c r="H35" t="str">
        <f t="shared" si="0"/>
        <v>During</v>
      </c>
    </row>
    <row r="36" spans="1:8" x14ac:dyDescent="0.3">
      <c r="A36" s="30" t="s">
        <v>570</v>
      </c>
      <c r="B36" s="7" t="s">
        <v>353</v>
      </c>
      <c r="C36" s="30"/>
      <c r="D36" s="30">
        <v>7.86</v>
      </c>
      <c r="E36" s="3">
        <v>3095</v>
      </c>
      <c r="F36" s="7">
        <v>55710</v>
      </c>
      <c r="G36" s="7">
        <v>93</v>
      </c>
      <c r="H36" t="str">
        <f t="shared" si="0"/>
        <v>During</v>
      </c>
    </row>
    <row r="37" spans="1:8" x14ac:dyDescent="0.3">
      <c r="A37" s="30" t="s">
        <v>570</v>
      </c>
      <c r="B37" s="7" t="s">
        <v>354</v>
      </c>
      <c r="C37" s="30" t="s">
        <v>563</v>
      </c>
      <c r="D37" s="30">
        <v>5.34</v>
      </c>
      <c r="E37" s="3">
        <v>438</v>
      </c>
      <c r="F37" s="7">
        <v>3066</v>
      </c>
      <c r="G37" s="7">
        <v>282</v>
      </c>
      <c r="H37" t="str">
        <f t="shared" si="0"/>
        <v>During</v>
      </c>
    </row>
    <row r="38" spans="1:8" x14ac:dyDescent="0.3">
      <c r="A38" s="30" t="s">
        <v>570</v>
      </c>
      <c r="B38" s="7" t="s">
        <v>355</v>
      </c>
      <c r="C38" s="30" t="s">
        <v>562</v>
      </c>
      <c r="D38" s="30">
        <v>5.52</v>
      </c>
      <c r="E38" s="3">
        <v>2278</v>
      </c>
      <c r="F38" s="7">
        <v>13668</v>
      </c>
      <c r="G38" s="7">
        <v>275</v>
      </c>
      <c r="H38" t="str">
        <f t="shared" si="0"/>
        <v>During</v>
      </c>
    </row>
    <row r="39" spans="1:8" x14ac:dyDescent="0.3">
      <c r="A39" s="30" t="s">
        <v>421</v>
      </c>
      <c r="B39" s="7" t="s">
        <v>356</v>
      </c>
      <c r="C39" s="30" t="s">
        <v>562</v>
      </c>
      <c r="D39" s="30">
        <v>4.05</v>
      </c>
      <c r="E39" s="3">
        <v>1407</v>
      </c>
      <c r="F39" s="7">
        <v>16884</v>
      </c>
      <c r="G39" s="7">
        <v>113</v>
      </c>
      <c r="H39" t="str">
        <f t="shared" si="0"/>
        <v>During</v>
      </c>
    </row>
    <row r="40" spans="1:8" x14ac:dyDescent="0.3">
      <c r="A40" s="30" t="s">
        <v>421</v>
      </c>
      <c r="B40" s="7" t="s">
        <v>357</v>
      </c>
      <c r="C40" s="30" t="s">
        <v>564</v>
      </c>
      <c r="D40" s="30">
        <v>7.73</v>
      </c>
      <c r="E40" s="3">
        <v>1652</v>
      </c>
      <c r="F40" s="7">
        <v>29736</v>
      </c>
      <c r="G40" s="7">
        <v>215</v>
      </c>
      <c r="H40" t="str">
        <f t="shared" si="0"/>
        <v>During</v>
      </c>
    </row>
    <row r="41" spans="1:8" x14ac:dyDescent="0.3">
      <c r="A41" s="30" t="s">
        <v>421</v>
      </c>
      <c r="B41" s="7" t="s">
        <v>358</v>
      </c>
      <c r="C41" s="30" t="s">
        <v>563</v>
      </c>
      <c r="D41" s="30">
        <v>4.3600000000000003</v>
      </c>
      <c r="E41" s="3">
        <v>3775</v>
      </c>
      <c r="F41" s="7">
        <v>33975</v>
      </c>
      <c r="G41" s="7">
        <v>271</v>
      </c>
      <c r="H41" t="str">
        <f t="shared" si="0"/>
        <v>During</v>
      </c>
    </row>
    <row r="42" spans="1:8" x14ac:dyDescent="0.3">
      <c r="A42" s="30" t="s">
        <v>421</v>
      </c>
      <c r="B42" s="7" t="s">
        <v>359</v>
      </c>
      <c r="C42" s="30" t="s">
        <v>563</v>
      </c>
      <c r="D42" s="30">
        <v>3.48</v>
      </c>
      <c r="E42" s="3">
        <v>4518</v>
      </c>
      <c r="F42" s="7">
        <v>67770</v>
      </c>
      <c r="G42" s="7">
        <v>31</v>
      </c>
      <c r="H42" t="str">
        <f t="shared" si="0"/>
        <v>During</v>
      </c>
    </row>
    <row r="43" spans="1:8" x14ac:dyDescent="0.3">
      <c r="A43" s="30" t="s">
        <v>499</v>
      </c>
      <c r="B43" s="7" t="s">
        <v>360</v>
      </c>
      <c r="C43" s="30" t="s">
        <v>563</v>
      </c>
      <c r="D43" s="30">
        <v>7.83</v>
      </c>
      <c r="E43" s="3">
        <v>3024</v>
      </c>
      <c r="F43" s="7">
        <v>24192</v>
      </c>
      <c r="G43" s="7">
        <v>36</v>
      </c>
      <c r="H43" t="str">
        <f t="shared" si="0"/>
        <v>During</v>
      </c>
    </row>
    <row r="44" spans="1:8" x14ac:dyDescent="0.3">
      <c r="A44" s="30" t="s">
        <v>499</v>
      </c>
      <c r="B44" s="7" t="s">
        <v>361</v>
      </c>
      <c r="C44" s="30" t="s">
        <v>565</v>
      </c>
      <c r="D44" s="30">
        <v>6.11</v>
      </c>
      <c r="E44" s="3">
        <v>3138</v>
      </c>
      <c r="F44" s="7">
        <v>28242</v>
      </c>
      <c r="G44" s="7">
        <v>87</v>
      </c>
      <c r="H44" t="str">
        <f t="shared" si="0"/>
        <v>During</v>
      </c>
    </row>
    <row r="45" spans="1:8" x14ac:dyDescent="0.3">
      <c r="A45" s="30" t="s">
        <v>499</v>
      </c>
      <c r="B45" s="7" t="s">
        <v>362</v>
      </c>
      <c r="C45" s="30"/>
      <c r="D45" s="30">
        <v>9.43</v>
      </c>
      <c r="E45" s="3">
        <v>3564</v>
      </c>
      <c r="F45" s="7">
        <v>60588</v>
      </c>
      <c r="G45" s="7">
        <v>92</v>
      </c>
      <c r="H45" t="str">
        <f t="shared" si="0"/>
        <v>During</v>
      </c>
    </row>
    <row r="46" spans="1:8" x14ac:dyDescent="0.3">
      <c r="A46" s="30" t="s">
        <v>499</v>
      </c>
      <c r="B46" s="7" t="s">
        <v>363</v>
      </c>
      <c r="C46" s="30" t="s">
        <v>565</v>
      </c>
      <c r="D46" s="30">
        <v>4.04</v>
      </c>
      <c r="E46" s="3">
        <v>4750</v>
      </c>
      <c r="F46" s="7">
        <v>38000</v>
      </c>
      <c r="G46" s="7">
        <v>299</v>
      </c>
      <c r="H46" t="str">
        <f t="shared" si="0"/>
        <v>During</v>
      </c>
    </row>
    <row r="47" spans="1:8" x14ac:dyDescent="0.3">
      <c r="A47" s="30" t="s">
        <v>320</v>
      </c>
      <c r="B47" s="7" t="s">
        <v>364</v>
      </c>
      <c r="C47" s="30" t="s">
        <v>565</v>
      </c>
      <c r="D47" s="30">
        <v>6.23</v>
      </c>
      <c r="E47" s="3">
        <v>456</v>
      </c>
      <c r="F47" s="7">
        <v>8208</v>
      </c>
      <c r="G47" s="7">
        <v>205</v>
      </c>
      <c r="H47" t="str">
        <f t="shared" si="0"/>
        <v>During</v>
      </c>
    </row>
    <row r="48" spans="1:8" x14ac:dyDescent="0.3">
      <c r="A48" s="30" t="s">
        <v>320</v>
      </c>
      <c r="B48" s="7" t="s">
        <v>365</v>
      </c>
      <c r="C48" s="30"/>
      <c r="D48" s="30">
        <v>6.01</v>
      </c>
      <c r="E48" s="3">
        <v>1543</v>
      </c>
      <c r="F48" s="7">
        <v>12344</v>
      </c>
      <c r="G48" s="7">
        <v>241</v>
      </c>
      <c r="H48" t="str">
        <f t="shared" si="0"/>
        <v>During</v>
      </c>
    </row>
    <row r="49" spans="1:8" x14ac:dyDescent="0.3">
      <c r="A49" s="30" t="s">
        <v>320</v>
      </c>
      <c r="B49" s="7" t="s">
        <v>366</v>
      </c>
      <c r="C49" s="30" t="s">
        <v>564</v>
      </c>
      <c r="D49" s="30">
        <v>8.5500000000000007</v>
      </c>
      <c r="E49" s="3">
        <v>2174</v>
      </c>
      <c r="F49" s="7">
        <v>13044</v>
      </c>
      <c r="G49" s="7">
        <v>137</v>
      </c>
      <c r="H49" t="str">
        <f t="shared" si="0"/>
        <v>During</v>
      </c>
    </row>
    <row r="50" spans="1:8" x14ac:dyDescent="0.3">
      <c r="A50" s="30" t="s">
        <v>320</v>
      </c>
      <c r="B50" s="7" t="s">
        <v>367</v>
      </c>
      <c r="C50" s="30"/>
      <c r="D50" s="30">
        <v>5.42</v>
      </c>
      <c r="E50" s="3">
        <v>2358</v>
      </c>
      <c r="F50" s="7">
        <v>35370</v>
      </c>
      <c r="G50" s="7">
        <v>216</v>
      </c>
      <c r="H50" t="str">
        <f t="shared" si="0"/>
        <v>During</v>
      </c>
    </row>
    <row r="51" spans="1:8" x14ac:dyDescent="0.3">
      <c r="A51" s="30" t="s">
        <v>341</v>
      </c>
      <c r="B51" s="7" t="s">
        <v>368</v>
      </c>
      <c r="C51" s="30" t="s">
        <v>562</v>
      </c>
      <c r="D51" s="30">
        <v>3.25</v>
      </c>
      <c r="E51" s="3">
        <v>3371</v>
      </c>
      <c r="F51" s="7">
        <v>50565</v>
      </c>
      <c r="G51" s="7">
        <v>176</v>
      </c>
      <c r="H51" t="str">
        <f t="shared" si="0"/>
        <v>During</v>
      </c>
    </row>
    <row r="52" spans="1:8" x14ac:dyDescent="0.3">
      <c r="A52" s="30" t="s">
        <v>341</v>
      </c>
      <c r="B52" s="7" t="s">
        <v>369</v>
      </c>
      <c r="C52" s="30" t="s">
        <v>565</v>
      </c>
      <c r="D52" s="30">
        <v>8.84</v>
      </c>
      <c r="E52" s="3">
        <v>1108</v>
      </c>
      <c r="F52" s="7">
        <v>8864</v>
      </c>
      <c r="G52" s="7">
        <v>97</v>
      </c>
      <c r="H52" t="str">
        <f t="shared" si="0"/>
        <v>During</v>
      </c>
    </row>
    <row r="53" spans="1:8" x14ac:dyDescent="0.3">
      <c r="A53" s="30" t="s">
        <v>341</v>
      </c>
      <c r="B53" s="7" t="s">
        <v>370</v>
      </c>
      <c r="C53" s="30"/>
      <c r="D53" s="30">
        <v>7.24</v>
      </c>
      <c r="E53" s="3">
        <v>2704</v>
      </c>
      <c r="F53" s="7">
        <v>21632</v>
      </c>
      <c r="G53" s="7">
        <v>127</v>
      </c>
      <c r="H53" t="str">
        <f t="shared" si="0"/>
        <v>During</v>
      </c>
    </row>
    <row r="54" spans="1:8" x14ac:dyDescent="0.3">
      <c r="A54" s="30" t="s">
        <v>341</v>
      </c>
      <c r="B54" s="7" t="s">
        <v>331</v>
      </c>
      <c r="C54" s="30"/>
      <c r="D54" s="30">
        <v>6.19</v>
      </c>
      <c r="E54" s="3">
        <v>1950</v>
      </c>
      <c r="F54" s="7">
        <v>37050</v>
      </c>
      <c r="G54" s="7">
        <v>119</v>
      </c>
      <c r="H54" t="str">
        <f t="shared" si="0"/>
        <v>During</v>
      </c>
    </row>
    <row r="55" spans="1:8" x14ac:dyDescent="0.3">
      <c r="A55" s="30" t="s">
        <v>339</v>
      </c>
      <c r="B55" s="7" t="s">
        <v>371</v>
      </c>
      <c r="C55" s="30" t="s">
        <v>565</v>
      </c>
      <c r="D55" s="30">
        <v>5.71</v>
      </c>
      <c r="E55" s="3">
        <v>2164</v>
      </c>
      <c r="F55" s="7">
        <v>28132</v>
      </c>
      <c r="G55" s="7">
        <v>177</v>
      </c>
      <c r="H55" t="str">
        <f t="shared" si="0"/>
        <v>Before</v>
      </c>
    </row>
    <row r="56" spans="1:8" x14ac:dyDescent="0.3">
      <c r="A56" s="30" t="s">
        <v>339</v>
      </c>
      <c r="B56" s="7" t="s">
        <v>372</v>
      </c>
      <c r="C56" s="30" t="s">
        <v>564</v>
      </c>
      <c r="D56" s="30">
        <v>9.0399999999999991</v>
      </c>
      <c r="E56" s="3">
        <v>2754</v>
      </c>
      <c r="F56" s="7">
        <v>22032</v>
      </c>
      <c r="G56" s="7">
        <v>112</v>
      </c>
      <c r="H56" t="str">
        <f t="shared" si="0"/>
        <v>Before</v>
      </c>
    </row>
    <row r="57" spans="1:8" x14ac:dyDescent="0.3">
      <c r="A57" s="30" t="s">
        <v>339</v>
      </c>
      <c r="B57" s="7" t="s">
        <v>373</v>
      </c>
      <c r="C57" s="30" t="s">
        <v>563</v>
      </c>
      <c r="D57" s="30">
        <v>3.91</v>
      </c>
      <c r="E57" s="3">
        <v>2200</v>
      </c>
      <c r="F57" s="7">
        <v>37400</v>
      </c>
      <c r="G57" s="7">
        <v>225</v>
      </c>
      <c r="H57" t="str">
        <f t="shared" si="0"/>
        <v>Before</v>
      </c>
    </row>
    <row r="58" spans="1:8" x14ac:dyDescent="0.3">
      <c r="A58" s="30" t="s">
        <v>339</v>
      </c>
      <c r="B58" s="7" t="s">
        <v>374</v>
      </c>
      <c r="C58" s="30" t="s">
        <v>565</v>
      </c>
      <c r="D58" s="30">
        <v>7.83</v>
      </c>
      <c r="E58" s="3">
        <v>947</v>
      </c>
      <c r="F58" s="7">
        <v>10417</v>
      </c>
      <c r="G58" s="7">
        <v>34</v>
      </c>
      <c r="H58" t="str">
        <f t="shared" si="0"/>
        <v>During</v>
      </c>
    </row>
    <row r="59" spans="1:8" x14ac:dyDescent="0.3">
      <c r="A59" s="30" t="s">
        <v>390</v>
      </c>
      <c r="B59" s="7" t="s">
        <v>370</v>
      </c>
      <c r="C59" s="30"/>
      <c r="D59" s="30">
        <v>7.16</v>
      </c>
      <c r="E59" s="3">
        <v>804</v>
      </c>
      <c r="F59" s="7">
        <v>4020</v>
      </c>
      <c r="G59" s="7">
        <v>11</v>
      </c>
      <c r="H59" t="str">
        <f t="shared" si="0"/>
        <v>During</v>
      </c>
    </row>
    <row r="60" spans="1:8" x14ac:dyDescent="0.3">
      <c r="A60" s="30" t="s">
        <v>390</v>
      </c>
      <c r="B60" s="7" t="s">
        <v>375</v>
      </c>
      <c r="C60" s="30" t="s">
        <v>563</v>
      </c>
      <c r="D60" s="30">
        <v>6.41</v>
      </c>
      <c r="E60" s="3">
        <v>1686</v>
      </c>
      <c r="F60" s="7">
        <v>18546</v>
      </c>
      <c r="G60" s="7">
        <v>52</v>
      </c>
      <c r="H60" t="str">
        <f t="shared" si="0"/>
        <v>During</v>
      </c>
    </row>
    <row r="61" spans="1:8" x14ac:dyDescent="0.3">
      <c r="A61" s="30" t="s">
        <v>390</v>
      </c>
      <c r="B61" s="7" t="s">
        <v>376</v>
      </c>
      <c r="C61" s="30" t="s">
        <v>565</v>
      </c>
      <c r="D61" s="30">
        <v>8.02</v>
      </c>
      <c r="E61" s="3">
        <v>1226</v>
      </c>
      <c r="F61" s="7">
        <v>14712</v>
      </c>
      <c r="G61" s="7">
        <v>123</v>
      </c>
      <c r="H61" t="str">
        <f t="shared" si="0"/>
        <v>Before</v>
      </c>
    </row>
    <row r="62" spans="1:8" x14ac:dyDescent="0.3">
      <c r="A62" s="30" t="s">
        <v>390</v>
      </c>
      <c r="B62" s="7" t="s">
        <v>377</v>
      </c>
      <c r="C62" s="30" t="s">
        <v>564</v>
      </c>
      <c r="D62" s="30">
        <v>3.86</v>
      </c>
      <c r="E62" s="3">
        <v>2946</v>
      </c>
      <c r="F62" s="7">
        <v>29460</v>
      </c>
      <c r="G62" s="7">
        <v>60</v>
      </c>
      <c r="H62" t="str">
        <f t="shared" si="0"/>
        <v>During</v>
      </c>
    </row>
    <row r="63" spans="1:8" x14ac:dyDescent="0.3">
      <c r="A63" s="30" t="s">
        <v>343</v>
      </c>
      <c r="B63" s="7" t="s">
        <v>378</v>
      </c>
      <c r="C63" s="30" t="s">
        <v>562</v>
      </c>
      <c r="D63" s="30">
        <v>9.09</v>
      </c>
      <c r="E63" s="3">
        <v>2825</v>
      </c>
      <c r="F63" s="7">
        <v>45200</v>
      </c>
      <c r="G63" s="7">
        <v>169</v>
      </c>
      <c r="H63" t="str">
        <f t="shared" si="0"/>
        <v>During</v>
      </c>
    </row>
    <row r="64" spans="1:8" x14ac:dyDescent="0.3">
      <c r="A64" s="30" t="s">
        <v>343</v>
      </c>
      <c r="B64" s="7" t="s">
        <v>379</v>
      </c>
      <c r="C64" s="30" t="s">
        <v>565</v>
      </c>
      <c r="D64" s="30">
        <v>1.76</v>
      </c>
      <c r="E64" s="3">
        <v>103</v>
      </c>
      <c r="F64" s="7">
        <v>1030</v>
      </c>
      <c r="G64" s="7">
        <v>262</v>
      </c>
      <c r="H64" t="str">
        <f t="shared" si="0"/>
        <v>During</v>
      </c>
    </row>
    <row r="65" spans="1:8" x14ac:dyDescent="0.3">
      <c r="A65" s="30" t="s">
        <v>343</v>
      </c>
      <c r="B65" s="7" t="s">
        <v>380</v>
      </c>
      <c r="C65" s="30"/>
      <c r="D65" s="30">
        <v>9.24</v>
      </c>
      <c r="E65" s="3">
        <v>2180</v>
      </c>
      <c r="F65" s="7">
        <v>30520</v>
      </c>
      <c r="G65" s="7">
        <v>174</v>
      </c>
      <c r="H65" t="str">
        <f t="shared" si="0"/>
        <v>Before</v>
      </c>
    </row>
    <row r="66" spans="1:8" x14ac:dyDescent="0.3">
      <c r="A66" s="30" t="s">
        <v>343</v>
      </c>
      <c r="B66" s="7" t="s">
        <v>381</v>
      </c>
      <c r="C66" s="30" t="s">
        <v>564</v>
      </c>
      <c r="D66" s="30">
        <v>8.99</v>
      </c>
      <c r="E66" s="3">
        <v>904</v>
      </c>
      <c r="F66" s="7">
        <v>11752</v>
      </c>
      <c r="G66" s="7">
        <v>84</v>
      </c>
      <c r="H66" t="str">
        <f t="shared" si="0"/>
        <v>During</v>
      </c>
    </row>
    <row r="67" spans="1:8" x14ac:dyDescent="0.3">
      <c r="A67" s="30" t="s">
        <v>571</v>
      </c>
      <c r="B67" s="7" t="s">
        <v>382</v>
      </c>
      <c r="C67" s="30" t="s">
        <v>562</v>
      </c>
      <c r="D67" s="30">
        <v>3.4</v>
      </c>
      <c r="E67" s="3">
        <v>4886</v>
      </c>
      <c r="F67" s="7">
        <v>43974</v>
      </c>
      <c r="G67" s="7">
        <v>65</v>
      </c>
      <c r="H67" t="str">
        <f t="shared" si="0"/>
        <v>Before</v>
      </c>
    </row>
    <row r="68" spans="1:8" x14ac:dyDescent="0.3">
      <c r="A68" s="30" t="s">
        <v>571</v>
      </c>
      <c r="B68" s="7" t="s">
        <v>383</v>
      </c>
      <c r="C68" s="30" t="s">
        <v>564</v>
      </c>
      <c r="D68" s="30">
        <v>9.1999999999999993</v>
      </c>
      <c r="E68" s="3">
        <v>53</v>
      </c>
      <c r="F68" s="7">
        <v>954</v>
      </c>
      <c r="G68" s="7">
        <v>148</v>
      </c>
      <c r="H68" t="str">
        <f t="shared" si="0"/>
        <v>During</v>
      </c>
    </row>
    <row r="69" spans="1:8" x14ac:dyDescent="0.3">
      <c r="A69" s="30" t="s">
        <v>571</v>
      </c>
      <c r="B69" s="7" t="s">
        <v>355</v>
      </c>
      <c r="C69" s="30" t="s">
        <v>564</v>
      </c>
      <c r="D69" s="30">
        <v>8.59</v>
      </c>
      <c r="E69" s="3">
        <v>4507</v>
      </c>
      <c r="F69" s="7">
        <v>90140</v>
      </c>
      <c r="G69" s="7">
        <v>125</v>
      </c>
      <c r="H69" t="str">
        <f t="shared" si="0"/>
        <v>Before</v>
      </c>
    </row>
    <row r="70" spans="1:8" x14ac:dyDescent="0.3">
      <c r="A70" s="30" t="s">
        <v>571</v>
      </c>
      <c r="B70" s="7" t="s">
        <v>384</v>
      </c>
      <c r="C70" s="30" t="s">
        <v>564</v>
      </c>
      <c r="D70" s="30">
        <v>3.5</v>
      </c>
      <c r="E70" s="3">
        <v>2878</v>
      </c>
      <c r="F70" s="7">
        <v>43170</v>
      </c>
      <c r="G70" s="7">
        <v>75</v>
      </c>
      <c r="H70" t="str">
        <f t="shared" si="0"/>
        <v>Before</v>
      </c>
    </row>
    <row r="71" spans="1:8" x14ac:dyDescent="0.3">
      <c r="A71" s="30" t="s">
        <v>572</v>
      </c>
      <c r="B71" s="7" t="s">
        <v>385</v>
      </c>
      <c r="C71" s="30"/>
      <c r="D71" s="30">
        <v>2.36</v>
      </c>
      <c r="E71" s="3">
        <v>1881</v>
      </c>
      <c r="F71" s="7">
        <v>20691</v>
      </c>
      <c r="G71" s="7">
        <v>289</v>
      </c>
      <c r="H71" t="str">
        <f t="shared" si="0"/>
        <v>During</v>
      </c>
    </row>
    <row r="72" spans="1:8" x14ac:dyDescent="0.3">
      <c r="A72" s="30" t="s">
        <v>572</v>
      </c>
      <c r="B72" s="7" t="s">
        <v>386</v>
      </c>
      <c r="C72" s="30" t="s">
        <v>562</v>
      </c>
      <c r="D72" s="30">
        <v>7.36</v>
      </c>
      <c r="E72" s="3">
        <v>432</v>
      </c>
      <c r="F72" s="7">
        <v>3024</v>
      </c>
      <c r="G72" s="7">
        <v>184</v>
      </c>
      <c r="H72" t="str">
        <f t="shared" ref="H72:H135" si="1">IF(B72&lt;A72,"Before","During")</f>
        <v>Before</v>
      </c>
    </row>
    <row r="73" spans="1:8" x14ac:dyDescent="0.3">
      <c r="A73" s="30" t="s">
        <v>572</v>
      </c>
      <c r="B73" s="7" t="s">
        <v>387</v>
      </c>
      <c r="C73" s="30" t="s">
        <v>564</v>
      </c>
      <c r="D73" s="30">
        <v>8.5500000000000007</v>
      </c>
      <c r="E73" s="3">
        <v>4712</v>
      </c>
      <c r="F73" s="7">
        <v>84816</v>
      </c>
      <c r="G73" s="7">
        <v>100</v>
      </c>
      <c r="H73" t="str">
        <f t="shared" si="1"/>
        <v>During</v>
      </c>
    </row>
    <row r="74" spans="1:8" x14ac:dyDescent="0.3">
      <c r="A74" s="30" t="s">
        <v>572</v>
      </c>
      <c r="B74" s="7" t="s">
        <v>388</v>
      </c>
      <c r="C74" s="30"/>
      <c r="D74" s="30">
        <v>8.1300000000000008</v>
      </c>
      <c r="E74" s="3">
        <v>2610</v>
      </c>
      <c r="F74" s="7">
        <v>15660</v>
      </c>
      <c r="G74" s="7">
        <v>73</v>
      </c>
      <c r="H74" t="str">
        <f t="shared" si="1"/>
        <v>During</v>
      </c>
    </row>
    <row r="75" spans="1:8" x14ac:dyDescent="0.3">
      <c r="A75" s="30" t="s">
        <v>573</v>
      </c>
      <c r="B75" s="7" t="s">
        <v>364</v>
      </c>
      <c r="C75" s="30" t="s">
        <v>564</v>
      </c>
      <c r="D75" s="30">
        <v>3.3</v>
      </c>
      <c r="E75" s="3">
        <v>1292</v>
      </c>
      <c r="F75" s="7">
        <v>25840</v>
      </c>
      <c r="G75" s="7">
        <v>149</v>
      </c>
      <c r="H75" t="str">
        <f t="shared" si="1"/>
        <v>During</v>
      </c>
    </row>
    <row r="76" spans="1:8" x14ac:dyDescent="0.3">
      <c r="A76" s="30" t="s">
        <v>573</v>
      </c>
      <c r="B76" s="7" t="s">
        <v>389</v>
      </c>
      <c r="C76" s="30"/>
      <c r="D76" s="30">
        <v>1.77</v>
      </c>
      <c r="E76" s="3">
        <v>199</v>
      </c>
      <c r="F76" s="7">
        <v>3582</v>
      </c>
      <c r="G76" s="7">
        <v>43</v>
      </c>
      <c r="H76" t="str">
        <f t="shared" si="1"/>
        <v>During</v>
      </c>
    </row>
    <row r="77" spans="1:8" x14ac:dyDescent="0.3">
      <c r="A77" s="30" t="s">
        <v>573</v>
      </c>
      <c r="B77" s="7" t="s">
        <v>390</v>
      </c>
      <c r="C77" s="30" t="s">
        <v>563</v>
      </c>
      <c r="D77" s="30">
        <v>2.09</v>
      </c>
      <c r="E77" s="3">
        <v>2551</v>
      </c>
      <c r="F77" s="7">
        <v>30612</v>
      </c>
      <c r="G77" s="7">
        <v>227</v>
      </c>
      <c r="H77" t="str">
        <f t="shared" si="1"/>
        <v>Before</v>
      </c>
    </row>
    <row r="78" spans="1:8" x14ac:dyDescent="0.3">
      <c r="A78" s="30" t="s">
        <v>573</v>
      </c>
      <c r="B78" s="7" t="s">
        <v>391</v>
      </c>
      <c r="C78" s="30" t="s">
        <v>563</v>
      </c>
      <c r="D78" s="30">
        <v>7.36</v>
      </c>
      <c r="E78" s="3">
        <v>296</v>
      </c>
      <c r="F78" s="7">
        <v>5624</v>
      </c>
      <c r="G78" s="7">
        <v>88</v>
      </c>
      <c r="H78" t="str">
        <f t="shared" si="1"/>
        <v>During</v>
      </c>
    </row>
    <row r="79" spans="1:8" x14ac:dyDescent="0.3">
      <c r="A79" s="30" t="s">
        <v>574</v>
      </c>
      <c r="B79" s="7" t="s">
        <v>392</v>
      </c>
      <c r="C79" s="30" t="s">
        <v>565</v>
      </c>
      <c r="D79" s="30">
        <v>6.25</v>
      </c>
      <c r="E79" s="3">
        <v>4126</v>
      </c>
      <c r="F79" s="7">
        <v>78394</v>
      </c>
      <c r="G79" s="7">
        <v>88</v>
      </c>
      <c r="H79" t="str">
        <f t="shared" si="1"/>
        <v>During</v>
      </c>
    </row>
    <row r="80" spans="1:8" x14ac:dyDescent="0.3">
      <c r="A80" s="30" t="s">
        <v>574</v>
      </c>
      <c r="B80" s="7" t="s">
        <v>393</v>
      </c>
      <c r="C80" s="30" t="s">
        <v>564</v>
      </c>
      <c r="D80" s="30">
        <v>1.75</v>
      </c>
      <c r="E80" s="3">
        <v>1855</v>
      </c>
      <c r="F80" s="7">
        <v>16695</v>
      </c>
      <c r="G80" s="7">
        <v>123</v>
      </c>
      <c r="H80" t="str">
        <f t="shared" si="1"/>
        <v>During</v>
      </c>
    </row>
    <row r="81" spans="1:8" x14ac:dyDescent="0.3">
      <c r="A81" s="30" t="s">
        <v>574</v>
      </c>
      <c r="B81" s="7" t="s">
        <v>394</v>
      </c>
      <c r="C81" s="30" t="s">
        <v>565</v>
      </c>
      <c r="D81" s="30">
        <v>4.97</v>
      </c>
      <c r="E81" s="3">
        <v>1674</v>
      </c>
      <c r="F81" s="7">
        <v>21762</v>
      </c>
      <c r="G81" s="7">
        <v>255</v>
      </c>
      <c r="H81" t="str">
        <f t="shared" si="1"/>
        <v>Before</v>
      </c>
    </row>
    <row r="82" spans="1:8" x14ac:dyDescent="0.3">
      <c r="A82" s="30" t="s">
        <v>574</v>
      </c>
      <c r="B82" s="7" t="s">
        <v>395</v>
      </c>
      <c r="C82" s="30" t="s">
        <v>565</v>
      </c>
      <c r="D82" s="30">
        <v>9.3000000000000007</v>
      </c>
      <c r="E82" s="3">
        <v>1121</v>
      </c>
      <c r="F82" s="7">
        <v>15694</v>
      </c>
      <c r="G82" s="7">
        <v>99</v>
      </c>
      <c r="H82" t="str">
        <f t="shared" si="1"/>
        <v>During</v>
      </c>
    </row>
    <row r="83" spans="1:8" x14ac:dyDescent="0.3">
      <c r="A83" s="30" t="s">
        <v>575</v>
      </c>
      <c r="B83" s="7" t="s">
        <v>351</v>
      </c>
      <c r="C83" s="30"/>
      <c r="D83" s="30">
        <v>8.9</v>
      </c>
      <c r="E83" s="3">
        <v>1249</v>
      </c>
      <c r="F83" s="7">
        <v>8743</v>
      </c>
      <c r="G83" s="7">
        <v>63</v>
      </c>
      <c r="H83" t="str">
        <f t="shared" si="1"/>
        <v>During</v>
      </c>
    </row>
    <row r="84" spans="1:8" x14ac:dyDescent="0.3">
      <c r="A84" s="30" t="s">
        <v>575</v>
      </c>
      <c r="B84" s="7" t="s">
        <v>376</v>
      </c>
      <c r="C84" s="30" t="s">
        <v>565</v>
      </c>
      <c r="D84" s="30">
        <v>3.88</v>
      </c>
      <c r="E84" s="3">
        <v>954</v>
      </c>
      <c r="F84" s="7">
        <v>19080</v>
      </c>
      <c r="G84" s="7">
        <v>21</v>
      </c>
      <c r="H84" t="str">
        <f t="shared" si="1"/>
        <v>Before</v>
      </c>
    </row>
    <row r="85" spans="1:8" x14ac:dyDescent="0.3">
      <c r="A85" s="30" t="s">
        <v>575</v>
      </c>
      <c r="B85" s="7" t="s">
        <v>396</v>
      </c>
      <c r="C85" s="30" t="s">
        <v>563</v>
      </c>
      <c r="D85" s="30">
        <v>5.9</v>
      </c>
      <c r="E85" s="3">
        <v>3068</v>
      </c>
      <c r="F85" s="7">
        <v>39884</v>
      </c>
      <c r="G85" s="7">
        <v>266</v>
      </c>
      <c r="H85" t="str">
        <f t="shared" si="1"/>
        <v>Before</v>
      </c>
    </row>
    <row r="86" spans="1:8" x14ac:dyDescent="0.3">
      <c r="A86" s="30" t="s">
        <v>575</v>
      </c>
      <c r="B86" s="7" t="s">
        <v>373</v>
      </c>
      <c r="C86" s="30"/>
      <c r="D86" s="30">
        <v>1.53</v>
      </c>
      <c r="E86" s="3">
        <v>2103</v>
      </c>
      <c r="F86" s="7">
        <v>39957</v>
      </c>
      <c r="G86" s="7">
        <v>28</v>
      </c>
      <c r="H86" t="str">
        <f t="shared" si="1"/>
        <v>Before</v>
      </c>
    </row>
    <row r="87" spans="1:8" x14ac:dyDescent="0.3">
      <c r="A87" s="30" t="s">
        <v>378</v>
      </c>
      <c r="B87" s="7" t="s">
        <v>397</v>
      </c>
      <c r="C87" s="30" t="s">
        <v>564</v>
      </c>
      <c r="D87" s="30">
        <v>6.5</v>
      </c>
      <c r="E87" s="3">
        <v>1816</v>
      </c>
      <c r="F87" s="7">
        <v>19976</v>
      </c>
      <c r="G87" s="7">
        <v>283</v>
      </c>
      <c r="H87" t="str">
        <f t="shared" si="1"/>
        <v>Before</v>
      </c>
    </row>
    <row r="88" spans="1:8" x14ac:dyDescent="0.3">
      <c r="A88" s="30" t="s">
        <v>378</v>
      </c>
      <c r="B88" s="7" t="s">
        <v>398</v>
      </c>
      <c r="C88" s="30" t="s">
        <v>564</v>
      </c>
      <c r="D88" s="30">
        <v>3.16</v>
      </c>
      <c r="E88" s="3">
        <v>725</v>
      </c>
      <c r="F88" s="7">
        <v>14500</v>
      </c>
      <c r="G88" s="7">
        <v>200</v>
      </c>
      <c r="H88" t="str">
        <f t="shared" si="1"/>
        <v>Before</v>
      </c>
    </row>
    <row r="89" spans="1:8" x14ac:dyDescent="0.3">
      <c r="A89" s="30" t="s">
        <v>378</v>
      </c>
      <c r="B89" s="7" t="s">
        <v>399</v>
      </c>
      <c r="C89" s="30"/>
      <c r="D89" s="30">
        <v>8.25</v>
      </c>
      <c r="E89" s="3">
        <v>1094</v>
      </c>
      <c r="F89" s="7">
        <v>9846</v>
      </c>
      <c r="G89" s="7">
        <v>112</v>
      </c>
      <c r="H89" t="str">
        <f t="shared" si="1"/>
        <v>Before</v>
      </c>
    </row>
    <row r="90" spans="1:8" x14ac:dyDescent="0.3">
      <c r="A90" s="30" t="s">
        <v>378</v>
      </c>
      <c r="B90" s="7" t="s">
        <v>400</v>
      </c>
      <c r="C90" s="30" t="s">
        <v>565</v>
      </c>
      <c r="D90" s="30">
        <v>5.41</v>
      </c>
      <c r="E90" s="3">
        <v>1841</v>
      </c>
      <c r="F90" s="7">
        <v>34979</v>
      </c>
      <c r="G90" s="7">
        <v>255</v>
      </c>
      <c r="H90" t="str">
        <f t="shared" si="1"/>
        <v>During</v>
      </c>
    </row>
    <row r="91" spans="1:8" x14ac:dyDescent="0.3">
      <c r="A91" s="30" t="s">
        <v>393</v>
      </c>
      <c r="B91" s="7" t="s">
        <v>359</v>
      </c>
      <c r="C91" s="30" t="s">
        <v>562</v>
      </c>
      <c r="D91" s="30">
        <v>5.85</v>
      </c>
      <c r="E91" s="3">
        <v>4177</v>
      </c>
      <c r="F91" s="7">
        <v>25062</v>
      </c>
      <c r="G91" s="7">
        <v>230</v>
      </c>
      <c r="H91" t="str">
        <f t="shared" si="1"/>
        <v>During</v>
      </c>
    </row>
    <row r="92" spans="1:8" x14ac:dyDescent="0.3">
      <c r="A92" s="30" t="s">
        <v>393</v>
      </c>
      <c r="B92" s="7" t="s">
        <v>401</v>
      </c>
      <c r="C92" s="30" t="s">
        <v>565</v>
      </c>
      <c r="D92" s="30">
        <v>4.46</v>
      </c>
      <c r="E92" s="3">
        <v>3428</v>
      </c>
      <c r="F92" s="7">
        <v>58276</v>
      </c>
      <c r="G92" s="7">
        <v>242</v>
      </c>
      <c r="H92" t="str">
        <f t="shared" si="1"/>
        <v>During</v>
      </c>
    </row>
    <row r="93" spans="1:8" x14ac:dyDescent="0.3">
      <c r="A93" s="30" t="s">
        <v>393</v>
      </c>
      <c r="B93" s="7" t="s">
        <v>402</v>
      </c>
      <c r="C93" s="30" t="s">
        <v>564</v>
      </c>
      <c r="D93" s="30">
        <v>5.22</v>
      </c>
      <c r="E93" s="3">
        <v>1436</v>
      </c>
      <c r="F93" s="7">
        <v>12924</v>
      </c>
      <c r="G93" s="7">
        <v>197</v>
      </c>
      <c r="H93" t="str">
        <f t="shared" si="1"/>
        <v>Before</v>
      </c>
    </row>
    <row r="94" spans="1:8" x14ac:dyDescent="0.3">
      <c r="A94" s="30" t="s">
        <v>393</v>
      </c>
      <c r="B94" s="7" t="s">
        <v>403</v>
      </c>
      <c r="C94" s="30" t="s">
        <v>565</v>
      </c>
      <c r="D94" s="30">
        <v>1.99</v>
      </c>
      <c r="E94" s="3">
        <v>302</v>
      </c>
      <c r="F94" s="7">
        <v>5738</v>
      </c>
      <c r="G94" s="7">
        <v>25</v>
      </c>
      <c r="H94" t="str">
        <f t="shared" si="1"/>
        <v>Before</v>
      </c>
    </row>
    <row r="95" spans="1:8" x14ac:dyDescent="0.3">
      <c r="A95" s="30" t="s">
        <v>428</v>
      </c>
      <c r="B95" s="7" t="s">
        <v>404</v>
      </c>
      <c r="C95" s="30"/>
      <c r="D95" s="30">
        <v>6.85</v>
      </c>
      <c r="E95" s="3">
        <v>2214</v>
      </c>
      <c r="F95" s="7">
        <v>15498</v>
      </c>
      <c r="G95" s="7">
        <v>180</v>
      </c>
      <c r="H95" t="str">
        <f t="shared" si="1"/>
        <v>During</v>
      </c>
    </row>
    <row r="96" spans="1:8" x14ac:dyDescent="0.3">
      <c r="A96" s="30" t="s">
        <v>428</v>
      </c>
      <c r="B96" s="7" t="s">
        <v>405</v>
      </c>
      <c r="C96" s="30" t="s">
        <v>565</v>
      </c>
      <c r="D96" s="30">
        <v>3.32</v>
      </c>
      <c r="E96" s="3">
        <v>3861</v>
      </c>
      <c r="F96" s="7">
        <v>69498</v>
      </c>
      <c r="G96" s="7">
        <v>297</v>
      </c>
      <c r="H96" t="str">
        <f t="shared" si="1"/>
        <v>Before</v>
      </c>
    </row>
    <row r="97" spans="1:8" x14ac:dyDescent="0.3">
      <c r="A97" s="30" t="s">
        <v>428</v>
      </c>
      <c r="B97" s="7" t="s">
        <v>406</v>
      </c>
      <c r="C97" s="30" t="s">
        <v>565</v>
      </c>
      <c r="D97" s="30">
        <v>5.68</v>
      </c>
      <c r="E97" s="3">
        <v>1263</v>
      </c>
      <c r="F97" s="7">
        <v>25260</v>
      </c>
      <c r="G97" s="7">
        <v>137</v>
      </c>
      <c r="H97" t="str">
        <f t="shared" si="1"/>
        <v>During</v>
      </c>
    </row>
    <row r="98" spans="1:8" x14ac:dyDescent="0.3">
      <c r="A98" s="30" t="s">
        <v>428</v>
      </c>
      <c r="B98" s="7" t="s">
        <v>378</v>
      </c>
      <c r="C98" s="30" t="s">
        <v>564</v>
      </c>
      <c r="D98" s="30">
        <v>6.08</v>
      </c>
      <c r="E98" s="3">
        <v>3801</v>
      </c>
      <c r="F98" s="7">
        <v>38010</v>
      </c>
      <c r="G98" s="7">
        <v>236</v>
      </c>
      <c r="H98" t="str">
        <f t="shared" si="1"/>
        <v>Before</v>
      </c>
    </row>
    <row r="99" spans="1:8" x14ac:dyDescent="0.3">
      <c r="A99" s="30" t="s">
        <v>576</v>
      </c>
      <c r="B99" s="7" t="s">
        <v>407</v>
      </c>
      <c r="C99" s="30" t="s">
        <v>564</v>
      </c>
      <c r="D99" s="30">
        <v>4.66</v>
      </c>
      <c r="E99" s="3">
        <v>1431</v>
      </c>
      <c r="F99" s="7">
        <v>8586</v>
      </c>
      <c r="G99" s="7">
        <v>150</v>
      </c>
      <c r="H99" t="str">
        <f t="shared" si="1"/>
        <v>During</v>
      </c>
    </row>
    <row r="100" spans="1:8" x14ac:dyDescent="0.3">
      <c r="A100" s="30" t="s">
        <v>576</v>
      </c>
      <c r="B100" s="7" t="s">
        <v>395</v>
      </c>
      <c r="C100" s="30" t="s">
        <v>564</v>
      </c>
      <c r="D100" s="30">
        <v>8.6999999999999993</v>
      </c>
      <c r="E100" s="3">
        <v>2647</v>
      </c>
      <c r="F100" s="7">
        <v>18529</v>
      </c>
      <c r="G100" s="7">
        <v>46</v>
      </c>
      <c r="H100" t="str">
        <f t="shared" si="1"/>
        <v>Before</v>
      </c>
    </row>
    <row r="101" spans="1:8" x14ac:dyDescent="0.3">
      <c r="A101" s="30" t="s">
        <v>576</v>
      </c>
      <c r="B101" s="7" t="s">
        <v>408</v>
      </c>
      <c r="C101" s="30" t="s">
        <v>565</v>
      </c>
      <c r="D101" s="30">
        <v>2.46</v>
      </c>
      <c r="E101" s="3">
        <v>3182</v>
      </c>
      <c r="F101" s="7">
        <v>57276</v>
      </c>
      <c r="G101" s="7">
        <v>163</v>
      </c>
      <c r="H101" t="str">
        <f t="shared" si="1"/>
        <v>Before</v>
      </c>
    </row>
    <row r="102" spans="1:8" x14ac:dyDescent="0.3">
      <c r="A102" s="30" t="s">
        <v>576</v>
      </c>
      <c r="B102" s="7" t="s">
        <v>409</v>
      </c>
      <c r="C102" s="30"/>
      <c r="D102" s="30">
        <v>7.97</v>
      </c>
      <c r="E102" s="3">
        <v>1238</v>
      </c>
      <c r="F102" s="7">
        <v>19808</v>
      </c>
      <c r="G102" s="7">
        <v>123</v>
      </c>
      <c r="H102" t="str">
        <f t="shared" si="1"/>
        <v>Before</v>
      </c>
    </row>
    <row r="103" spans="1:8" x14ac:dyDescent="0.3">
      <c r="A103" s="30" t="s">
        <v>335</v>
      </c>
      <c r="B103" s="7" t="s">
        <v>410</v>
      </c>
      <c r="C103" s="30" t="s">
        <v>563</v>
      </c>
      <c r="D103" s="30">
        <v>9.41</v>
      </c>
      <c r="E103" s="3">
        <v>4739</v>
      </c>
      <c r="F103" s="7">
        <v>61607</v>
      </c>
      <c r="G103" s="7">
        <v>36</v>
      </c>
      <c r="H103" t="str">
        <f t="shared" si="1"/>
        <v>Before</v>
      </c>
    </row>
    <row r="104" spans="1:8" x14ac:dyDescent="0.3">
      <c r="A104" s="30" t="s">
        <v>335</v>
      </c>
      <c r="B104" s="7" t="s">
        <v>371</v>
      </c>
      <c r="C104" s="30" t="s">
        <v>565</v>
      </c>
      <c r="D104" s="30">
        <v>2.68</v>
      </c>
      <c r="E104" s="3">
        <v>1575</v>
      </c>
      <c r="F104" s="7">
        <v>25200</v>
      </c>
      <c r="G104" s="7">
        <v>17</v>
      </c>
      <c r="H104" t="str">
        <f t="shared" si="1"/>
        <v>Before</v>
      </c>
    </row>
    <row r="105" spans="1:8" x14ac:dyDescent="0.3">
      <c r="A105" s="30" t="s">
        <v>335</v>
      </c>
      <c r="B105" s="7" t="s">
        <v>411</v>
      </c>
      <c r="C105" s="30" t="s">
        <v>564</v>
      </c>
      <c r="D105" s="30">
        <v>7.32</v>
      </c>
      <c r="E105" s="3">
        <v>4171</v>
      </c>
      <c r="F105" s="7">
        <v>66736</v>
      </c>
      <c r="G105" s="7">
        <v>173</v>
      </c>
      <c r="H105" t="str">
        <f t="shared" si="1"/>
        <v>Before</v>
      </c>
    </row>
    <row r="106" spans="1:8" x14ac:dyDescent="0.3">
      <c r="A106" s="30" t="s">
        <v>335</v>
      </c>
      <c r="B106" s="7" t="s">
        <v>412</v>
      </c>
      <c r="C106" s="30"/>
      <c r="D106" s="30">
        <v>4.68</v>
      </c>
      <c r="E106" s="3">
        <v>1766</v>
      </c>
      <c r="F106" s="7">
        <v>24724</v>
      </c>
      <c r="G106" s="7">
        <v>52</v>
      </c>
      <c r="H106" t="str">
        <f t="shared" si="1"/>
        <v>During</v>
      </c>
    </row>
    <row r="107" spans="1:8" x14ac:dyDescent="0.3">
      <c r="A107" s="30" t="s">
        <v>362</v>
      </c>
      <c r="B107" s="7" t="s">
        <v>392</v>
      </c>
      <c r="C107" s="30" t="s">
        <v>564</v>
      </c>
      <c r="D107" s="30">
        <v>5.17</v>
      </c>
      <c r="E107" s="3">
        <v>4450</v>
      </c>
      <c r="F107" s="7">
        <v>75650</v>
      </c>
      <c r="G107" s="7">
        <v>12</v>
      </c>
      <c r="H107" t="str">
        <f t="shared" si="1"/>
        <v>Before</v>
      </c>
    </row>
    <row r="108" spans="1:8" x14ac:dyDescent="0.3">
      <c r="A108" s="30" t="s">
        <v>362</v>
      </c>
      <c r="B108" s="7" t="s">
        <v>413</v>
      </c>
      <c r="C108" s="30" t="s">
        <v>563</v>
      </c>
      <c r="D108" s="30">
        <v>6.2</v>
      </c>
      <c r="E108" s="3">
        <v>1000</v>
      </c>
      <c r="F108" s="7">
        <v>6000</v>
      </c>
      <c r="G108" s="7">
        <v>223</v>
      </c>
      <c r="H108" t="str">
        <f t="shared" si="1"/>
        <v>Before</v>
      </c>
    </row>
    <row r="109" spans="1:8" x14ac:dyDescent="0.3">
      <c r="A109" s="30" t="s">
        <v>362</v>
      </c>
      <c r="B109" s="7" t="s">
        <v>414</v>
      </c>
      <c r="C109" s="30" t="s">
        <v>563</v>
      </c>
      <c r="D109" s="30">
        <v>2.69</v>
      </c>
      <c r="E109" s="3">
        <v>3689</v>
      </c>
      <c r="F109" s="7">
        <v>40579</v>
      </c>
      <c r="G109" s="7">
        <v>212</v>
      </c>
      <c r="H109" t="str">
        <f t="shared" si="1"/>
        <v>Before</v>
      </c>
    </row>
    <row r="110" spans="1:8" x14ac:dyDescent="0.3">
      <c r="A110" s="30" t="s">
        <v>362</v>
      </c>
      <c r="B110" s="7" t="s">
        <v>415</v>
      </c>
      <c r="C110" s="30" t="s">
        <v>564</v>
      </c>
      <c r="D110" s="30">
        <v>8.9</v>
      </c>
      <c r="E110" s="3">
        <v>3655</v>
      </c>
      <c r="F110" s="7">
        <v>32895</v>
      </c>
      <c r="G110" s="7">
        <v>199</v>
      </c>
      <c r="H110" t="str">
        <f t="shared" si="1"/>
        <v>During</v>
      </c>
    </row>
    <row r="111" spans="1:8" x14ac:dyDescent="0.3">
      <c r="A111" s="30" t="s">
        <v>577</v>
      </c>
      <c r="B111" s="7" t="s">
        <v>416</v>
      </c>
      <c r="C111" s="30" t="s">
        <v>562</v>
      </c>
      <c r="D111" s="30">
        <v>3.79</v>
      </c>
      <c r="E111" s="3">
        <v>498</v>
      </c>
      <c r="F111" s="7">
        <v>4482</v>
      </c>
      <c r="G111" s="7">
        <v>32</v>
      </c>
      <c r="H111" t="str">
        <f t="shared" si="1"/>
        <v>Before</v>
      </c>
    </row>
    <row r="112" spans="1:8" x14ac:dyDescent="0.3">
      <c r="A112" s="30" t="s">
        <v>577</v>
      </c>
      <c r="B112" s="7" t="s">
        <v>417</v>
      </c>
      <c r="C112" s="30" t="s">
        <v>565</v>
      </c>
      <c r="D112" s="30">
        <v>4.79</v>
      </c>
      <c r="E112" s="3">
        <v>4619</v>
      </c>
      <c r="F112" s="7">
        <v>69285</v>
      </c>
      <c r="G112" s="7">
        <v>298</v>
      </c>
      <c r="H112" t="str">
        <f t="shared" si="1"/>
        <v>During</v>
      </c>
    </row>
    <row r="113" spans="1:8" x14ac:dyDescent="0.3">
      <c r="A113" s="30" t="s">
        <v>577</v>
      </c>
      <c r="B113" s="7" t="s">
        <v>418</v>
      </c>
      <c r="C113" s="30"/>
      <c r="D113" s="30">
        <v>6.37</v>
      </c>
      <c r="E113" s="3">
        <v>4832</v>
      </c>
      <c r="F113" s="7">
        <v>91808</v>
      </c>
      <c r="G113" s="7">
        <v>182</v>
      </c>
      <c r="H113" t="str">
        <f t="shared" si="1"/>
        <v>Before</v>
      </c>
    </row>
    <row r="114" spans="1:8" x14ac:dyDescent="0.3">
      <c r="A114" s="30" t="s">
        <v>577</v>
      </c>
      <c r="B114" s="7" t="s">
        <v>419</v>
      </c>
      <c r="C114" s="30" t="s">
        <v>563</v>
      </c>
      <c r="D114" s="30">
        <v>2.65</v>
      </c>
      <c r="E114" s="3">
        <v>4050</v>
      </c>
      <c r="F114" s="7">
        <v>52650</v>
      </c>
      <c r="G114" s="7">
        <v>209</v>
      </c>
      <c r="H114" t="str">
        <f t="shared" si="1"/>
        <v>During</v>
      </c>
    </row>
    <row r="115" spans="1:8" x14ac:dyDescent="0.3">
      <c r="A115" s="30" t="s">
        <v>400</v>
      </c>
      <c r="B115" s="7" t="s">
        <v>420</v>
      </c>
      <c r="C115" s="30" t="s">
        <v>564</v>
      </c>
      <c r="D115" s="30">
        <v>1.81</v>
      </c>
      <c r="E115" s="3">
        <v>3649</v>
      </c>
      <c r="F115" s="7">
        <v>25543</v>
      </c>
      <c r="G115" s="7">
        <v>167</v>
      </c>
      <c r="H115" t="str">
        <f t="shared" si="1"/>
        <v>Before</v>
      </c>
    </row>
    <row r="116" spans="1:8" x14ac:dyDescent="0.3">
      <c r="A116" s="30" t="s">
        <v>400</v>
      </c>
      <c r="B116" s="7" t="s">
        <v>421</v>
      </c>
      <c r="C116" s="30" t="s">
        <v>563</v>
      </c>
      <c r="D116" s="30">
        <v>7.47</v>
      </c>
      <c r="E116" s="3">
        <v>3523</v>
      </c>
      <c r="F116" s="7">
        <v>38753</v>
      </c>
      <c r="G116" s="7">
        <v>270</v>
      </c>
      <c r="H116" t="str">
        <f t="shared" si="1"/>
        <v>Before</v>
      </c>
    </row>
    <row r="117" spans="1:8" x14ac:dyDescent="0.3">
      <c r="A117" s="30" t="s">
        <v>400</v>
      </c>
      <c r="B117" s="7" t="s">
        <v>422</v>
      </c>
      <c r="C117" s="30" t="s">
        <v>563</v>
      </c>
      <c r="D117" s="30">
        <v>4.2</v>
      </c>
      <c r="E117" s="3">
        <v>2719</v>
      </c>
      <c r="F117" s="7">
        <v>40785</v>
      </c>
      <c r="G117" s="7">
        <v>40</v>
      </c>
      <c r="H117" t="str">
        <f t="shared" si="1"/>
        <v>Before</v>
      </c>
    </row>
    <row r="118" spans="1:8" x14ac:dyDescent="0.3">
      <c r="A118" s="30" t="s">
        <v>400</v>
      </c>
      <c r="B118" s="7" t="s">
        <v>423</v>
      </c>
      <c r="C118" s="30" t="s">
        <v>564</v>
      </c>
      <c r="D118" s="30">
        <v>5.43</v>
      </c>
      <c r="E118" s="3">
        <v>1957</v>
      </c>
      <c r="F118" s="7">
        <v>17613</v>
      </c>
      <c r="G118" s="7">
        <v>297</v>
      </c>
      <c r="H118" t="str">
        <f t="shared" si="1"/>
        <v>Before</v>
      </c>
    </row>
    <row r="119" spans="1:8" x14ac:dyDescent="0.3">
      <c r="A119" s="30" t="s">
        <v>354</v>
      </c>
      <c r="B119" s="7" t="s">
        <v>424</v>
      </c>
      <c r="C119" s="30" t="s">
        <v>562</v>
      </c>
      <c r="D119" s="30">
        <v>3.32</v>
      </c>
      <c r="E119" s="3">
        <v>4419</v>
      </c>
      <c r="F119" s="7">
        <v>44190</v>
      </c>
      <c r="G119" s="7">
        <v>10</v>
      </c>
      <c r="H119" t="str">
        <f t="shared" si="1"/>
        <v>Before</v>
      </c>
    </row>
    <row r="120" spans="1:8" x14ac:dyDescent="0.3">
      <c r="A120" s="30" t="s">
        <v>354</v>
      </c>
      <c r="B120" s="7" t="s">
        <v>425</v>
      </c>
      <c r="C120" s="30" t="s">
        <v>562</v>
      </c>
      <c r="D120" s="30">
        <v>8.11</v>
      </c>
      <c r="E120" s="3">
        <v>4000</v>
      </c>
      <c r="F120" s="7">
        <v>40000</v>
      </c>
      <c r="G120" s="7">
        <v>44</v>
      </c>
      <c r="H120" t="str">
        <f t="shared" si="1"/>
        <v>Before</v>
      </c>
    </row>
    <row r="121" spans="1:8" x14ac:dyDescent="0.3">
      <c r="A121" s="30" t="s">
        <v>354</v>
      </c>
      <c r="B121" s="7" t="s">
        <v>426</v>
      </c>
      <c r="C121" s="30" t="s">
        <v>565</v>
      </c>
      <c r="D121" s="30">
        <v>6.66</v>
      </c>
      <c r="E121" s="3">
        <v>2493</v>
      </c>
      <c r="F121" s="7">
        <v>42381</v>
      </c>
      <c r="G121" s="7">
        <v>242</v>
      </c>
      <c r="H121" t="str">
        <f t="shared" si="1"/>
        <v>During</v>
      </c>
    </row>
    <row r="122" spans="1:8" x14ac:dyDescent="0.3">
      <c r="A122" s="30" t="s">
        <v>354</v>
      </c>
      <c r="B122" s="7" t="s">
        <v>427</v>
      </c>
      <c r="C122" s="30"/>
      <c r="D122" s="30">
        <v>8.09</v>
      </c>
      <c r="E122" s="3">
        <v>3704</v>
      </c>
      <c r="F122" s="7">
        <v>25928</v>
      </c>
      <c r="G122" s="7">
        <v>131</v>
      </c>
      <c r="H122" t="str">
        <f t="shared" si="1"/>
        <v>During</v>
      </c>
    </row>
    <row r="123" spans="1:8" x14ac:dyDescent="0.3">
      <c r="A123" s="30" t="s">
        <v>312</v>
      </c>
      <c r="B123" s="7" t="s">
        <v>428</v>
      </c>
      <c r="C123" s="30" t="s">
        <v>565</v>
      </c>
      <c r="D123" s="30">
        <v>8.44</v>
      </c>
      <c r="E123" s="3">
        <v>1606</v>
      </c>
      <c r="F123" s="7">
        <v>20878</v>
      </c>
      <c r="G123" s="7">
        <v>219</v>
      </c>
      <c r="H123" t="str">
        <f t="shared" si="1"/>
        <v>Before</v>
      </c>
    </row>
    <row r="124" spans="1:8" x14ac:dyDescent="0.3">
      <c r="A124" s="30" t="s">
        <v>312</v>
      </c>
      <c r="B124" s="7" t="s">
        <v>428</v>
      </c>
      <c r="C124" s="30" t="s">
        <v>564</v>
      </c>
      <c r="D124" s="30">
        <v>2.02</v>
      </c>
      <c r="E124" s="3">
        <v>4551</v>
      </c>
      <c r="F124" s="7">
        <v>68265</v>
      </c>
      <c r="G124" s="7">
        <v>57</v>
      </c>
      <c r="H124" t="str">
        <f t="shared" si="1"/>
        <v>Before</v>
      </c>
    </row>
    <row r="125" spans="1:8" x14ac:dyDescent="0.3">
      <c r="A125" s="30" t="s">
        <v>312</v>
      </c>
      <c r="B125" s="7" t="s">
        <v>429</v>
      </c>
      <c r="C125" s="30"/>
      <c r="D125" s="30">
        <v>7.74</v>
      </c>
      <c r="E125" s="3">
        <v>1970</v>
      </c>
      <c r="F125" s="7">
        <v>9850</v>
      </c>
      <c r="G125" s="7">
        <v>117</v>
      </c>
      <c r="H125" t="str">
        <f t="shared" si="1"/>
        <v>During</v>
      </c>
    </row>
    <row r="126" spans="1:8" x14ac:dyDescent="0.3">
      <c r="A126" s="30" t="s">
        <v>312</v>
      </c>
      <c r="B126" s="7" t="s">
        <v>378</v>
      </c>
      <c r="C126" s="30" t="s">
        <v>564</v>
      </c>
      <c r="D126" s="30">
        <v>2.89</v>
      </c>
      <c r="E126" s="3">
        <v>780</v>
      </c>
      <c r="F126" s="7">
        <v>8580</v>
      </c>
      <c r="G126" s="7">
        <v>91</v>
      </c>
      <c r="H126" t="str">
        <f t="shared" si="1"/>
        <v>Before</v>
      </c>
    </row>
    <row r="127" spans="1:8" x14ac:dyDescent="0.3">
      <c r="A127" s="30" t="s">
        <v>578</v>
      </c>
      <c r="B127" s="7" t="s">
        <v>421</v>
      </c>
      <c r="C127" s="30"/>
      <c r="D127" s="30">
        <v>1.76</v>
      </c>
      <c r="E127" s="3">
        <v>498</v>
      </c>
      <c r="F127" s="7">
        <v>4980</v>
      </c>
      <c r="G127" s="7">
        <v>185</v>
      </c>
      <c r="H127" t="str">
        <f t="shared" si="1"/>
        <v>Before</v>
      </c>
    </row>
    <row r="128" spans="1:8" x14ac:dyDescent="0.3">
      <c r="A128" s="30" t="s">
        <v>578</v>
      </c>
      <c r="B128" s="7" t="s">
        <v>424</v>
      </c>
      <c r="C128" s="30" t="s">
        <v>563</v>
      </c>
      <c r="D128" s="30">
        <v>3.09</v>
      </c>
      <c r="E128" s="3">
        <v>3432</v>
      </c>
      <c r="F128" s="7">
        <v>54912</v>
      </c>
      <c r="G128" s="7">
        <v>264</v>
      </c>
      <c r="H128" t="str">
        <f t="shared" si="1"/>
        <v>Before</v>
      </c>
    </row>
    <row r="129" spans="1:8" x14ac:dyDescent="0.3">
      <c r="A129" s="30" t="s">
        <v>578</v>
      </c>
      <c r="B129" s="7" t="s">
        <v>416</v>
      </c>
      <c r="C129" s="30" t="s">
        <v>562</v>
      </c>
      <c r="D129" s="30">
        <v>4.68</v>
      </c>
      <c r="E129" s="3">
        <v>4363</v>
      </c>
      <c r="F129" s="7">
        <v>21815</v>
      </c>
      <c r="G129" s="7">
        <v>157</v>
      </c>
      <c r="H129" t="str">
        <f t="shared" si="1"/>
        <v>Before</v>
      </c>
    </row>
    <row r="130" spans="1:8" x14ac:dyDescent="0.3">
      <c r="A130" s="30" t="s">
        <v>578</v>
      </c>
      <c r="B130" s="7" t="s">
        <v>430</v>
      </c>
      <c r="C130" s="30" t="s">
        <v>562</v>
      </c>
      <c r="D130" s="30">
        <v>4.4800000000000004</v>
      </c>
      <c r="E130" s="3">
        <v>736</v>
      </c>
      <c r="F130" s="7">
        <v>5152</v>
      </c>
      <c r="G130" s="7">
        <v>19</v>
      </c>
      <c r="H130" t="str">
        <f t="shared" si="1"/>
        <v>During</v>
      </c>
    </row>
    <row r="131" spans="1:8" x14ac:dyDescent="0.3">
      <c r="A131" s="30" t="s">
        <v>360</v>
      </c>
      <c r="B131" s="7" t="s">
        <v>431</v>
      </c>
      <c r="C131" s="30" t="s">
        <v>565</v>
      </c>
      <c r="D131" s="30">
        <v>5.3</v>
      </c>
      <c r="E131" s="3">
        <v>3811</v>
      </c>
      <c r="F131" s="7">
        <v>34299</v>
      </c>
      <c r="G131" s="7">
        <v>233</v>
      </c>
      <c r="H131" t="str">
        <f t="shared" si="1"/>
        <v>Before</v>
      </c>
    </row>
    <row r="132" spans="1:8" x14ac:dyDescent="0.3">
      <c r="A132" s="30" t="s">
        <v>360</v>
      </c>
      <c r="B132" s="7" t="s">
        <v>385</v>
      </c>
      <c r="C132" s="30"/>
      <c r="D132" s="30">
        <v>8.1999999999999993</v>
      </c>
      <c r="E132" s="3">
        <v>4158</v>
      </c>
      <c r="F132" s="7">
        <v>45738</v>
      </c>
      <c r="G132" s="7">
        <v>142</v>
      </c>
      <c r="H132" t="str">
        <f t="shared" si="1"/>
        <v>During</v>
      </c>
    </row>
    <row r="133" spans="1:8" x14ac:dyDescent="0.3">
      <c r="A133" s="30" t="s">
        <v>360</v>
      </c>
      <c r="B133" s="7" t="s">
        <v>401</v>
      </c>
      <c r="C133" s="30" t="s">
        <v>564</v>
      </c>
      <c r="D133" s="30">
        <v>2.2200000000000002</v>
      </c>
      <c r="E133" s="3">
        <v>3452</v>
      </c>
      <c r="F133" s="7">
        <v>65588</v>
      </c>
      <c r="G133" s="7">
        <v>158</v>
      </c>
      <c r="H133" t="str">
        <f t="shared" si="1"/>
        <v>During</v>
      </c>
    </row>
    <row r="134" spans="1:8" x14ac:dyDescent="0.3">
      <c r="A134" s="30" t="s">
        <v>360</v>
      </c>
      <c r="B134" s="7" t="s">
        <v>404</v>
      </c>
      <c r="C134" s="30"/>
      <c r="D134" s="30">
        <v>8.33</v>
      </c>
      <c r="E134" s="3">
        <v>3092</v>
      </c>
      <c r="F134" s="7">
        <v>27828</v>
      </c>
      <c r="G134" s="7">
        <v>102</v>
      </c>
      <c r="H134" t="str">
        <f t="shared" si="1"/>
        <v>During</v>
      </c>
    </row>
    <row r="135" spans="1:8" x14ac:dyDescent="0.3">
      <c r="A135" s="30" t="s">
        <v>579</v>
      </c>
      <c r="B135" s="7" t="s">
        <v>334</v>
      </c>
      <c r="C135" s="30"/>
      <c r="D135" s="30">
        <v>3.3</v>
      </c>
      <c r="E135" s="3">
        <v>2147</v>
      </c>
      <c r="F135" s="7">
        <v>17176</v>
      </c>
      <c r="G135" s="7">
        <v>170</v>
      </c>
      <c r="H135" t="str">
        <f t="shared" si="1"/>
        <v>Before</v>
      </c>
    </row>
    <row r="136" spans="1:8" x14ac:dyDescent="0.3">
      <c r="A136" s="30" t="s">
        <v>579</v>
      </c>
      <c r="B136" s="7" t="s">
        <v>432</v>
      </c>
      <c r="C136" s="30" t="s">
        <v>565</v>
      </c>
      <c r="D136" s="30">
        <v>5.61</v>
      </c>
      <c r="E136" s="3">
        <v>2936</v>
      </c>
      <c r="F136" s="7">
        <v>38168</v>
      </c>
      <c r="G136" s="7">
        <v>22</v>
      </c>
      <c r="H136" t="str">
        <f t="shared" ref="H136:H199" si="2">IF(B136&lt;A136,"Before","During")</f>
        <v>Before</v>
      </c>
    </row>
    <row r="137" spans="1:8" x14ac:dyDescent="0.3">
      <c r="A137" s="30" t="s">
        <v>579</v>
      </c>
      <c r="B137" s="7" t="s">
        <v>378</v>
      </c>
      <c r="C137" s="30" t="s">
        <v>564</v>
      </c>
      <c r="D137" s="30">
        <v>2.56</v>
      </c>
      <c r="E137" s="3">
        <v>4840</v>
      </c>
      <c r="F137" s="7">
        <v>43560</v>
      </c>
      <c r="G137" s="7">
        <v>57</v>
      </c>
      <c r="H137" t="str">
        <f t="shared" si="2"/>
        <v>Before</v>
      </c>
    </row>
    <row r="138" spans="1:8" x14ac:dyDescent="0.3">
      <c r="A138" s="30" t="s">
        <v>579</v>
      </c>
      <c r="B138" s="7" t="s">
        <v>351</v>
      </c>
      <c r="C138" s="30" t="s">
        <v>563</v>
      </c>
      <c r="D138" s="30">
        <v>3.29</v>
      </c>
      <c r="E138" s="3">
        <v>1947</v>
      </c>
      <c r="F138" s="7">
        <v>21417</v>
      </c>
      <c r="G138" s="7">
        <v>186</v>
      </c>
      <c r="H138" t="str">
        <f t="shared" si="2"/>
        <v>During</v>
      </c>
    </row>
    <row r="139" spans="1:8" x14ac:dyDescent="0.3">
      <c r="A139" s="30" t="s">
        <v>580</v>
      </c>
      <c r="B139" s="7" t="s">
        <v>433</v>
      </c>
      <c r="C139" s="30" t="s">
        <v>565</v>
      </c>
      <c r="D139" s="30">
        <v>9.24</v>
      </c>
      <c r="E139" s="3">
        <v>2072</v>
      </c>
      <c r="F139" s="7">
        <v>37296</v>
      </c>
      <c r="G139" s="7">
        <v>25</v>
      </c>
      <c r="H139" t="str">
        <f t="shared" si="2"/>
        <v>During</v>
      </c>
    </row>
    <row r="140" spans="1:8" x14ac:dyDescent="0.3">
      <c r="A140" s="30" t="s">
        <v>580</v>
      </c>
      <c r="B140" s="7" t="s">
        <v>434</v>
      </c>
      <c r="C140" s="30" t="s">
        <v>562</v>
      </c>
      <c r="D140" s="30">
        <v>4.51</v>
      </c>
      <c r="E140" s="3">
        <v>3731</v>
      </c>
      <c r="F140" s="7">
        <v>55965</v>
      </c>
      <c r="G140" s="7">
        <v>103</v>
      </c>
      <c r="H140" t="str">
        <f t="shared" si="2"/>
        <v>During</v>
      </c>
    </row>
    <row r="141" spans="1:8" x14ac:dyDescent="0.3">
      <c r="A141" s="30" t="s">
        <v>580</v>
      </c>
      <c r="B141" s="7" t="s">
        <v>435</v>
      </c>
      <c r="C141" s="30" t="s">
        <v>565</v>
      </c>
      <c r="D141" s="30">
        <v>5.23</v>
      </c>
      <c r="E141" s="3">
        <v>4213</v>
      </c>
      <c r="F141" s="7">
        <v>75834</v>
      </c>
      <c r="G141" s="7">
        <v>272</v>
      </c>
      <c r="H141" t="str">
        <f t="shared" si="2"/>
        <v>Before</v>
      </c>
    </row>
    <row r="142" spans="1:8" x14ac:dyDescent="0.3">
      <c r="A142" s="30" t="s">
        <v>580</v>
      </c>
      <c r="B142" s="7" t="s">
        <v>436</v>
      </c>
      <c r="C142" s="30" t="s">
        <v>565</v>
      </c>
      <c r="D142" s="30">
        <v>4.68</v>
      </c>
      <c r="E142" s="3">
        <v>3134</v>
      </c>
      <c r="F142" s="7">
        <v>21938</v>
      </c>
      <c r="G142" s="7">
        <v>130</v>
      </c>
      <c r="H142" t="str">
        <f t="shared" si="2"/>
        <v>Before</v>
      </c>
    </row>
    <row r="143" spans="1:8" x14ac:dyDescent="0.3">
      <c r="A143" s="30" t="s">
        <v>401</v>
      </c>
      <c r="B143" s="7" t="s">
        <v>355</v>
      </c>
      <c r="C143" s="30"/>
      <c r="D143" s="30">
        <v>9.23</v>
      </c>
      <c r="E143" s="3">
        <v>3008</v>
      </c>
      <c r="F143" s="7">
        <v>15040</v>
      </c>
      <c r="G143" s="7">
        <v>277</v>
      </c>
      <c r="H143" t="str">
        <f t="shared" si="2"/>
        <v>Before</v>
      </c>
    </row>
    <row r="144" spans="1:8" x14ac:dyDescent="0.3">
      <c r="A144" s="30" t="s">
        <v>401</v>
      </c>
      <c r="B144" s="7" t="s">
        <v>387</v>
      </c>
      <c r="C144" s="30" t="s">
        <v>564</v>
      </c>
      <c r="D144" s="30">
        <v>6.37</v>
      </c>
      <c r="E144" s="3">
        <v>305</v>
      </c>
      <c r="F144" s="7">
        <v>4575</v>
      </c>
      <c r="G144" s="7">
        <v>234</v>
      </c>
      <c r="H144" t="str">
        <f t="shared" si="2"/>
        <v>During</v>
      </c>
    </row>
    <row r="145" spans="1:8" x14ac:dyDescent="0.3">
      <c r="A145" s="30" t="s">
        <v>401</v>
      </c>
      <c r="B145" s="7" t="s">
        <v>437</v>
      </c>
      <c r="C145" s="30" t="s">
        <v>562</v>
      </c>
      <c r="D145" s="30">
        <v>2.0099999999999998</v>
      </c>
      <c r="E145" s="3">
        <v>2746</v>
      </c>
      <c r="F145" s="7">
        <v>32952</v>
      </c>
      <c r="G145" s="7">
        <v>147</v>
      </c>
      <c r="H145" t="str">
        <f t="shared" si="2"/>
        <v>Before</v>
      </c>
    </row>
    <row r="146" spans="1:8" x14ac:dyDescent="0.3">
      <c r="A146" s="30" t="s">
        <v>401</v>
      </c>
      <c r="B146" s="7" t="s">
        <v>438</v>
      </c>
      <c r="C146" s="30" t="s">
        <v>563</v>
      </c>
      <c r="D146" s="30">
        <v>3.72</v>
      </c>
      <c r="E146" s="3">
        <v>2291</v>
      </c>
      <c r="F146" s="7">
        <v>18328</v>
      </c>
      <c r="G146" s="7">
        <v>10</v>
      </c>
      <c r="H146" t="str">
        <f t="shared" si="2"/>
        <v>Before</v>
      </c>
    </row>
    <row r="147" spans="1:8" x14ac:dyDescent="0.3">
      <c r="A147" s="30" t="s">
        <v>581</v>
      </c>
      <c r="B147" s="7" t="s">
        <v>439</v>
      </c>
      <c r="C147" s="30"/>
      <c r="D147" s="30">
        <v>3.89</v>
      </c>
      <c r="E147" s="3">
        <v>3170</v>
      </c>
      <c r="F147" s="7">
        <v>19020</v>
      </c>
      <c r="G147" s="7">
        <v>240</v>
      </c>
      <c r="H147" t="str">
        <f t="shared" si="2"/>
        <v>Before</v>
      </c>
    </row>
    <row r="148" spans="1:8" x14ac:dyDescent="0.3">
      <c r="A148" s="30" t="s">
        <v>581</v>
      </c>
      <c r="B148" s="7" t="s">
        <v>419</v>
      </c>
      <c r="C148" s="30" t="s">
        <v>565</v>
      </c>
      <c r="D148" s="30">
        <v>8.6999999999999993</v>
      </c>
      <c r="E148" s="3">
        <v>2070</v>
      </c>
      <c r="F148" s="7">
        <v>39330</v>
      </c>
      <c r="G148" s="7">
        <v>114</v>
      </c>
      <c r="H148" t="str">
        <f t="shared" si="2"/>
        <v>During</v>
      </c>
    </row>
    <row r="149" spans="1:8" x14ac:dyDescent="0.3">
      <c r="A149" s="30" t="s">
        <v>581</v>
      </c>
      <c r="B149" s="7" t="s">
        <v>424</v>
      </c>
      <c r="C149" s="30" t="s">
        <v>564</v>
      </c>
      <c r="D149" s="30">
        <v>6.95</v>
      </c>
      <c r="E149" s="3">
        <v>80</v>
      </c>
      <c r="F149" s="7">
        <v>1040</v>
      </c>
      <c r="G149" s="7">
        <v>117</v>
      </c>
      <c r="H149" t="str">
        <f t="shared" si="2"/>
        <v>Before</v>
      </c>
    </row>
    <row r="150" spans="1:8" x14ac:dyDescent="0.3">
      <c r="A150" s="30" t="s">
        <v>581</v>
      </c>
      <c r="B150" s="7" t="s">
        <v>393</v>
      </c>
      <c r="C150" s="30" t="s">
        <v>565</v>
      </c>
      <c r="D150" s="30">
        <v>9.48</v>
      </c>
      <c r="E150" s="3">
        <v>4929</v>
      </c>
      <c r="F150" s="7">
        <v>93651</v>
      </c>
      <c r="G150" s="7">
        <v>66</v>
      </c>
      <c r="H150" t="str">
        <f t="shared" si="2"/>
        <v>Before</v>
      </c>
    </row>
    <row r="151" spans="1:8" x14ac:dyDescent="0.3">
      <c r="A151" s="30" t="s">
        <v>412</v>
      </c>
      <c r="B151" s="7" t="s">
        <v>320</v>
      </c>
      <c r="C151" s="30" t="s">
        <v>565</v>
      </c>
      <c r="D151" s="30">
        <v>4.6100000000000003</v>
      </c>
      <c r="E151" s="3">
        <v>1878</v>
      </c>
      <c r="F151" s="7">
        <v>37560</v>
      </c>
      <c r="G151" s="7">
        <v>142</v>
      </c>
      <c r="H151" t="str">
        <f t="shared" si="2"/>
        <v>Before</v>
      </c>
    </row>
    <row r="152" spans="1:8" x14ac:dyDescent="0.3">
      <c r="A152" s="30" t="s">
        <v>412</v>
      </c>
      <c r="B152" s="7" t="s">
        <v>440</v>
      </c>
      <c r="C152" s="30"/>
      <c r="D152" s="30">
        <v>8.0299999999999994</v>
      </c>
      <c r="E152" s="3">
        <v>3065</v>
      </c>
      <c r="F152" s="7">
        <v>18390</v>
      </c>
      <c r="G152" s="7">
        <v>200</v>
      </c>
      <c r="H152" t="str">
        <f t="shared" si="2"/>
        <v>Before</v>
      </c>
    </row>
    <row r="153" spans="1:8" x14ac:dyDescent="0.3">
      <c r="A153" s="30" t="s">
        <v>412</v>
      </c>
      <c r="B153" s="7" t="s">
        <v>378</v>
      </c>
      <c r="C153" s="30" t="s">
        <v>563</v>
      </c>
      <c r="D153" s="30">
        <v>6.99</v>
      </c>
      <c r="E153" s="3">
        <v>3256</v>
      </c>
      <c r="F153" s="7">
        <v>26048</v>
      </c>
      <c r="G153" s="7">
        <v>143</v>
      </c>
      <c r="H153" t="str">
        <f t="shared" si="2"/>
        <v>Before</v>
      </c>
    </row>
    <row r="154" spans="1:8" x14ac:dyDescent="0.3">
      <c r="A154" s="30" t="s">
        <v>412</v>
      </c>
      <c r="B154" s="7" t="s">
        <v>379</v>
      </c>
      <c r="C154" s="30" t="s">
        <v>565</v>
      </c>
      <c r="D154" s="30">
        <v>9.0299999999999994</v>
      </c>
      <c r="E154" s="3">
        <v>4133</v>
      </c>
      <c r="F154" s="7">
        <v>24798</v>
      </c>
      <c r="G154" s="7">
        <v>176</v>
      </c>
      <c r="H154" t="str">
        <f t="shared" si="2"/>
        <v>During</v>
      </c>
    </row>
    <row r="155" spans="1:8" x14ac:dyDescent="0.3">
      <c r="A155" s="30" t="s">
        <v>361</v>
      </c>
      <c r="B155" s="7" t="s">
        <v>441</v>
      </c>
      <c r="C155" s="30" t="s">
        <v>562</v>
      </c>
      <c r="D155" s="30">
        <v>2.86</v>
      </c>
      <c r="E155" s="3">
        <v>1702</v>
      </c>
      <c r="F155" s="7">
        <v>34040</v>
      </c>
      <c r="G155" s="7">
        <v>76</v>
      </c>
      <c r="H155" t="str">
        <f t="shared" si="2"/>
        <v>Before</v>
      </c>
    </row>
    <row r="156" spans="1:8" x14ac:dyDescent="0.3">
      <c r="A156" s="30" t="s">
        <v>361</v>
      </c>
      <c r="B156" s="7" t="s">
        <v>442</v>
      </c>
      <c r="C156" s="30" t="s">
        <v>565</v>
      </c>
      <c r="D156" s="30">
        <v>3.85</v>
      </c>
      <c r="E156" s="3">
        <v>4295</v>
      </c>
      <c r="F156" s="7">
        <v>85900</v>
      </c>
      <c r="G156" s="7">
        <v>290</v>
      </c>
      <c r="H156" t="str">
        <f t="shared" si="2"/>
        <v>Before</v>
      </c>
    </row>
    <row r="157" spans="1:8" x14ac:dyDescent="0.3">
      <c r="A157" s="30" t="s">
        <v>361</v>
      </c>
      <c r="B157" s="7" t="s">
        <v>386</v>
      </c>
      <c r="C157" s="30" t="s">
        <v>562</v>
      </c>
      <c r="D157" s="30">
        <v>7.3</v>
      </c>
      <c r="E157" s="3">
        <v>3559</v>
      </c>
      <c r="F157" s="7">
        <v>35590</v>
      </c>
      <c r="G157" s="7">
        <v>122</v>
      </c>
      <c r="H157" t="str">
        <f t="shared" si="2"/>
        <v>Before</v>
      </c>
    </row>
    <row r="158" spans="1:8" x14ac:dyDescent="0.3">
      <c r="A158" s="30" t="s">
        <v>361</v>
      </c>
      <c r="B158" s="7" t="s">
        <v>443</v>
      </c>
      <c r="C158" s="30" t="s">
        <v>565</v>
      </c>
      <c r="D158" s="30">
        <v>9.08</v>
      </c>
      <c r="E158" s="3">
        <v>4804</v>
      </c>
      <c r="F158" s="7">
        <v>28824</v>
      </c>
      <c r="G158" s="7">
        <v>47</v>
      </c>
      <c r="H158" t="str">
        <f t="shared" si="2"/>
        <v>During</v>
      </c>
    </row>
    <row r="159" spans="1:8" x14ac:dyDescent="0.3">
      <c r="A159" s="30" t="s">
        <v>370</v>
      </c>
      <c r="B159" s="7" t="s">
        <v>444</v>
      </c>
      <c r="C159" s="30" t="s">
        <v>564</v>
      </c>
      <c r="D159" s="30">
        <v>4.34</v>
      </c>
      <c r="E159" s="3">
        <v>754</v>
      </c>
      <c r="F159" s="7">
        <v>6786</v>
      </c>
      <c r="G159" s="7">
        <v>212</v>
      </c>
      <c r="H159" t="str">
        <f t="shared" si="2"/>
        <v>Before</v>
      </c>
    </row>
    <row r="160" spans="1:8" x14ac:dyDescent="0.3">
      <c r="A160" s="30" t="s">
        <v>370</v>
      </c>
      <c r="B160" s="7" t="s">
        <v>396</v>
      </c>
      <c r="C160" s="30" t="s">
        <v>565</v>
      </c>
      <c r="D160" s="30">
        <v>7.8</v>
      </c>
      <c r="E160" s="3">
        <v>985</v>
      </c>
      <c r="F160" s="7">
        <v>6895</v>
      </c>
      <c r="G160" s="7">
        <v>64</v>
      </c>
      <c r="H160" t="str">
        <f t="shared" si="2"/>
        <v>Before</v>
      </c>
    </row>
    <row r="161" spans="1:8" x14ac:dyDescent="0.3">
      <c r="A161" s="30" t="s">
        <v>370</v>
      </c>
      <c r="B161" s="7" t="s">
        <v>445</v>
      </c>
      <c r="C161" s="30" t="s">
        <v>563</v>
      </c>
      <c r="D161" s="30">
        <v>3.85</v>
      </c>
      <c r="E161" s="3">
        <v>2283</v>
      </c>
      <c r="F161" s="7">
        <v>22830</v>
      </c>
      <c r="G161" s="7">
        <v>143</v>
      </c>
      <c r="H161" t="str">
        <f t="shared" si="2"/>
        <v>Before</v>
      </c>
    </row>
    <row r="162" spans="1:8" x14ac:dyDescent="0.3">
      <c r="A162" s="30" t="s">
        <v>370</v>
      </c>
      <c r="B162" s="7" t="s">
        <v>446</v>
      </c>
      <c r="C162" s="30" t="s">
        <v>563</v>
      </c>
      <c r="D162" s="30">
        <v>6.58</v>
      </c>
      <c r="E162" s="3">
        <v>3352</v>
      </c>
      <c r="F162" s="7">
        <v>43576</v>
      </c>
      <c r="G162" s="7">
        <v>240</v>
      </c>
      <c r="H162" t="str">
        <f t="shared" si="2"/>
        <v>Before</v>
      </c>
    </row>
    <row r="163" spans="1:8" x14ac:dyDescent="0.3">
      <c r="A163" s="30" t="s">
        <v>391</v>
      </c>
      <c r="B163" s="7" t="s">
        <v>447</v>
      </c>
      <c r="C163" s="30" t="s">
        <v>563</v>
      </c>
      <c r="D163" s="30">
        <v>8.6199999999999992</v>
      </c>
      <c r="E163" s="3">
        <v>4775</v>
      </c>
      <c r="F163" s="7">
        <v>47750</v>
      </c>
      <c r="G163" s="7">
        <v>187</v>
      </c>
      <c r="H163" t="str">
        <f t="shared" si="2"/>
        <v>Before</v>
      </c>
    </row>
    <row r="164" spans="1:8" x14ac:dyDescent="0.3">
      <c r="A164" s="30" t="s">
        <v>391</v>
      </c>
      <c r="B164" s="7" t="s">
        <v>448</v>
      </c>
      <c r="C164" s="30" t="s">
        <v>562</v>
      </c>
      <c r="D164" s="30">
        <v>4.55</v>
      </c>
      <c r="E164" s="3">
        <v>1762</v>
      </c>
      <c r="F164" s="7">
        <v>22906</v>
      </c>
      <c r="G164" s="7">
        <v>25</v>
      </c>
      <c r="H164" t="str">
        <f t="shared" si="2"/>
        <v>Before</v>
      </c>
    </row>
    <row r="165" spans="1:8" x14ac:dyDescent="0.3">
      <c r="A165" s="30" t="s">
        <v>391</v>
      </c>
      <c r="B165" s="7" t="s">
        <v>362</v>
      </c>
      <c r="C165" s="30" t="s">
        <v>563</v>
      </c>
      <c r="D165" s="30">
        <v>8.33</v>
      </c>
      <c r="E165" s="3">
        <v>2120</v>
      </c>
      <c r="F165" s="7">
        <v>12720</v>
      </c>
      <c r="G165" s="7">
        <v>17</v>
      </c>
      <c r="H165" t="str">
        <f t="shared" si="2"/>
        <v>Before</v>
      </c>
    </row>
    <row r="166" spans="1:8" x14ac:dyDescent="0.3">
      <c r="A166" s="30" t="s">
        <v>391</v>
      </c>
      <c r="B166" s="7" t="s">
        <v>449</v>
      </c>
      <c r="C166" s="30"/>
      <c r="D166" s="30">
        <v>9.4</v>
      </c>
      <c r="E166" s="3">
        <v>1082</v>
      </c>
      <c r="F166" s="7">
        <v>19476</v>
      </c>
      <c r="G166" s="7">
        <v>20</v>
      </c>
      <c r="H166" t="str">
        <f t="shared" si="2"/>
        <v>Before</v>
      </c>
    </row>
    <row r="167" spans="1:8" x14ac:dyDescent="0.3">
      <c r="A167" s="30" t="s">
        <v>582</v>
      </c>
      <c r="B167" s="7" t="s">
        <v>450</v>
      </c>
      <c r="C167" s="30" t="s">
        <v>565</v>
      </c>
      <c r="D167" s="30">
        <v>7.23</v>
      </c>
      <c r="E167" s="3">
        <v>4671</v>
      </c>
      <c r="F167" s="7">
        <v>51381</v>
      </c>
      <c r="G167" s="7">
        <v>245</v>
      </c>
      <c r="H167" t="str">
        <f t="shared" si="2"/>
        <v>Before</v>
      </c>
    </row>
    <row r="168" spans="1:8" x14ac:dyDescent="0.3">
      <c r="A168" s="30" t="s">
        <v>582</v>
      </c>
      <c r="B168" s="7" t="s">
        <v>451</v>
      </c>
      <c r="C168" s="30"/>
      <c r="D168" s="30">
        <v>9.39</v>
      </c>
      <c r="E168" s="3">
        <v>3430</v>
      </c>
      <c r="F168" s="7">
        <v>48020</v>
      </c>
      <c r="G168" s="7">
        <v>120</v>
      </c>
      <c r="H168" t="str">
        <f t="shared" si="2"/>
        <v>During</v>
      </c>
    </row>
    <row r="169" spans="1:8" x14ac:dyDescent="0.3">
      <c r="A169" s="30" t="s">
        <v>582</v>
      </c>
      <c r="B169" s="7" t="s">
        <v>452</v>
      </c>
      <c r="C169" s="30" t="s">
        <v>563</v>
      </c>
      <c r="D169" s="30">
        <v>5.12</v>
      </c>
      <c r="E169" s="3">
        <v>4501</v>
      </c>
      <c r="F169" s="7">
        <v>22505</v>
      </c>
      <c r="G169" s="7">
        <v>132</v>
      </c>
      <c r="H169" t="str">
        <f t="shared" si="2"/>
        <v>During</v>
      </c>
    </row>
    <row r="170" spans="1:8" x14ac:dyDescent="0.3">
      <c r="A170" s="30" t="s">
        <v>582</v>
      </c>
      <c r="B170" s="7" t="s">
        <v>345</v>
      </c>
      <c r="C170" s="30" t="s">
        <v>565</v>
      </c>
      <c r="D170" s="30">
        <v>6.11</v>
      </c>
      <c r="E170" s="3">
        <v>4934</v>
      </c>
      <c r="F170" s="7">
        <v>39472</v>
      </c>
      <c r="G170" s="7">
        <v>169</v>
      </c>
      <c r="H170" t="str">
        <f t="shared" si="2"/>
        <v>Before</v>
      </c>
    </row>
    <row r="171" spans="1:8" x14ac:dyDescent="0.3">
      <c r="A171" s="30" t="s">
        <v>583</v>
      </c>
      <c r="B171" s="7" t="s">
        <v>407</v>
      </c>
      <c r="C171" s="30" t="s">
        <v>563</v>
      </c>
      <c r="D171" s="30">
        <v>7.74</v>
      </c>
      <c r="E171" s="3">
        <v>3239</v>
      </c>
      <c r="F171" s="7">
        <v>22673</v>
      </c>
      <c r="G171" s="7">
        <v>230</v>
      </c>
      <c r="H171" t="str">
        <f t="shared" si="2"/>
        <v>Before</v>
      </c>
    </row>
    <row r="172" spans="1:8" x14ac:dyDescent="0.3">
      <c r="A172" s="30" t="s">
        <v>583</v>
      </c>
      <c r="B172" s="7" t="s">
        <v>336</v>
      </c>
      <c r="C172" s="30" t="s">
        <v>562</v>
      </c>
      <c r="D172" s="30">
        <v>4.9400000000000004</v>
      </c>
      <c r="E172" s="3">
        <v>1076</v>
      </c>
      <c r="F172" s="7">
        <v>11836</v>
      </c>
      <c r="G172" s="7">
        <v>104</v>
      </c>
      <c r="H172" t="str">
        <f t="shared" si="2"/>
        <v>Before</v>
      </c>
    </row>
    <row r="173" spans="1:8" x14ac:dyDescent="0.3">
      <c r="A173" s="30" t="s">
        <v>583</v>
      </c>
      <c r="B173" s="7" t="s">
        <v>435</v>
      </c>
      <c r="C173" s="30"/>
      <c r="D173" s="30">
        <v>1.8</v>
      </c>
      <c r="E173" s="3">
        <v>4771</v>
      </c>
      <c r="F173" s="7">
        <v>57252</v>
      </c>
      <c r="G173" s="7">
        <v>150</v>
      </c>
      <c r="H173" t="str">
        <f t="shared" si="2"/>
        <v>Before</v>
      </c>
    </row>
    <row r="174" spans="1:8" x14ac:dyDescent="0.3">
      <c r="A174" s="30" t="s">
        <v>583</v>
      </c>
      <c r="B174" s="7" t="s">
        <v>453</v>
      </c>
      <c r="C174" s="30" t="s">
        <v>562</v>
      </c>
      <c r="D174" s="30">
        <v>8.64</v>
      </c>
      <c r="E174" s="3">
        <v>2418</v>
      </c>
      <c r="F174" s="7">
        <v>43524</v>
      </c>
      <c r="G174" s="7">
        <v>182</v>
      </c>
      <c r="H174" t="str">
        <f t="shared" si="2"/>
        <v>Before</v>
      </c>
    </row>
    <row r="175" spans="1:8" x14ac:dyDescent="0.3">
      <c r="A175" s="30" t="s">
        <v>406</v>
      </c>
      <c r="B175" s="7" t="s">
        <v>454</v>
      </c>
      <c r="C175" s="30" t="s">
        <v>562</v>
      </c>
      <c r="D175" s="30">
        <v>1.53</v>
      </c>
      <c r="E175" s="3">
        <v>3809</v>
      </c>
      <c r="F175" s="7">
        <v>34281</v>
      </c>
      <c r="G175" s="7">
        <v>83</v>
      </c>
      <c r="H175" t="str">
        <f t="shared" si="2"/>
        <v>Before</v>
      </c>
    </row>
    <row r="176" spans="1:8" x14ac:dyDescent="0.3">
      <c r="A176" s="30" t="s">
        <v>406</v>
      </c>
      <c r="B176" s="7" t="s">
        <v>455</v>
      </c>
      <c r="C176" s="30" t="s">
        <v>564</v>
      </c>
      <c r="D176" s="30">
        <v>8.52</v>
      </c>
      <c r="E176" s="3">
        <v>3577</v>
      </c>
      <c r="F176" s="7">
        <v>67963</v>
      </c>
      <c r="G176" s="7">
        <v>53</v>
      </c>
      <c r="H176" t="str">
        <f t="shared" si="2"/>
        <v>During</v>
      </c>
    </row>
    <row r="177" spans="1:8" x14ac:dyDescent="0.3">
      <c r="A177" s="30" t="s">
        <v>406</v>
      </c>
      <c r="B177" s="7" t="s">
        <v>456</v>
      </c>
      <c r="C177" s="30" t="s">
        <v>563</v>
      </c>
      <c r="D177" s="30">
        <v>5.53</v>
      </c>
      <c r="E177" s="3">
        <v>1018</v>
      </c>
      <c r="F177" s="7">
        <v>18324</v>
      </c>
      <c r="G177" s="7">
        <v>38</v>
      </c>
      <c r="H177" t="str">
        <f t="shared" si="2"/>
        <v>Before</v>
      </c>
    </row>
    <row r="178" spans="1:8" x14ac:dyDescent="0.3">
      <c r="A178" s="30" t="s">
        <v>406</v>
      </c>
      <c r="B178" s="7" t="s">
        <v>457</v>
      </c>
      <c r="C178" s="30" t="s">
        <v>564</v>
      </c>
      <c r="D178" s="30">
        <v>1.87</v>
      </c>
      <c r="E178" s="3">
        <v>3073</v>
      </c>
      <c r="F178" s="7">
        <v>52241</v>
      </c>
      <c r="G178" s="7">
        <v>246</v>
      </c>
      <c r="H178" t="str">
        <f t="shared" si="2"/>
        <v>Before</v>
      </c>
    </row>
    <row r="179" spans="1:8" x14ac:dyDescent="0.3">
      <c r="A179" s="30" t="s">
        <v>584</v>
      </c>
      <c r="B179" s="7" t="s">
        <v>458</v>
      </c>
      <c r="C179" s="30" t="s">
        <v>564</v>
      </c>
      <c r="D179" s="30">
        <v>6.27</v>
      </c>
      <c r="E179" s="3">
        <v>1330</v>
      </c>
      <c r="F179" s="7">
        <v>15960</v>
      </c>
      <c r="G179" s="7">
        <v>229</v>
      </c>
      <c r="H179" t="str">
        <f t="shared" si="2"/>
        <v>Before</v>
      </c>
    </row>
    <row r="180" spans="1:8" x14ac:dyDescent="0.3">
      <c r="A180" s="30" t="s">
        <v>584</v>
      </c>
      <c r="B180" s="7" t="s">
        <v>380</v>
      </c>
      <c r="C180" s="30"/>
      <c r="D180" s="30">
        <v>9.4600000000000009</v>
      </c>
      <c r="E180" s="3">
        <v>3828</v>
      </c>
      <c r="F180" s="7">
        <v>30624</v>
      </c>
      <c r="G180" s="7">
        <v>235</v>
      </c>
      <c r="H180" t="str">
        <f t="shared" si="2"/>
        <v>Before</v>
      </c>
    </row>
    <row r="181" spans="1:8" x14ac:dyDescent="0.3">
      <c r="A181" s="30" t="s">
        <v>584</v>
      </c>
      <c r="B181" s="7" t="s">
        <v>459</v>
      </c>
      <c r="C181" s="30" t="s">
        <v>565</v>
      </c>
      <c r="D181" s="30">
        <v>7.5</v>
      </c>
      <c r="E181" s="3">
        <v>142</v>
      </c>
      <c r="F181" s="7">
        <v>1704</v>
      </c>
      <c r="G181" s="7">
        <v>154</v>
      </c>
      <c r="H181" t="str">
        <f t="shared" si="2"/>
        <v>Before</v>
      </c>
    </row>
    <row r="182" spans="1:8" x14ac:dyDescent="0.3">
      <c r="A182" s="30" t="s">
        <v>584</v>
      </c>
      <c r="B182" s="7" t="s">
        <v>460</v>
      </c>
      <c r="C182" s="30" t="s">
        <v>562</v>
      </c>
      <c r="D182" s="30">
        <v>4.7300000000000004</v>
      </c>
      <c r="E182" s="3">
        <v>3798</v>
      </c>
      <c r="F182" s="7">
        <v>75960</v>
      </c>
      <c r="G182" s="7">
        <v>266</v>
      </c>
      <c r="H182" t="str">
        <f t="shared" si="2"/>
        <v>Before</v>
      </c>
    </row>
    <row r="183" spans="1:8" x14ac:dyDescent="0.3">
      <c r="A183" s="30" t="s">
        <v>473</v>
      </c>
      <c r="B183" s="7" t="s">
        <v>461</v>
      </c>
      <c r="C183" s="30" t="s">
        <v>564</v>
      </c>
      <c r="D183" s="30">
        <v>3.19</v>
      </c>
      <c r="E183" s="3">
        <v>3099</v>
      </c>
      <c r="F183" s="7">
        <v>43386</v>
      </c>
      <c r="G183" s="7">
        <v>52</v>
      </c>
      <c r="H183" t="str">
        <f t="shared" si="2"/>
        <v>Before</v>
      </c>
    </row>
    <row r="184" spans="1:8" x14ac:dyDescent="0.3">
      <c r="A184" s="30" t="s">
        <v>473</v>
      </c>
      <c r="B184" s="7" t="s">
        <v>395</v>
      </c>
      <c r="C184" s="30" t="s">
        <v>565</v>
      </c>
      <c r="D184" s="30">
        <v>2.4900000000000002</v>
      </c>
      <c r="E184" s="3">
        <v>129</v>
      </c>
      <c r="F184" s="7">
        <v>1290</v>
      </c>
      <c r="G184" s="7">
        <v>238</v>
      </c>
      <c r="H184" t="str">
        <f t="shared" si="2"/>
        <v>Before</v>
      </c>
    </row>
    <row r="185" spans="1:8" x14ac:dyDescent="0.3">
      <c r="A185" s="30" t="s">
        <v>473</v>
      </c>
      <c r="B185" s="7" t="s">
        <v>438</v>
      </c>
      <c r="C185" s="30"/>
      <c r="D185" s="30">
        <v>4.5</v>
      </c>
      <c r="E185" s="3">
        <v>3796</v>
      </c>
      <c r="F185" s="7">
        <v>64532</v>
      </c>
      <c r="G185" s="7">
        <v>292</v>
      </c>
      <c r="H185" t="str">
        <f t="shared" si="2"/>
        <v>Before</v>
      </c>
    </row>
    <row r="186" spans="1:8" x14ac:dyDescent="0.3">
      <c r="A186" s="30" t="s">
        <v>473</v>
      </c>
      <c r="B186" s="7" t="s">
        <v>454</v>
      </c>
      <c r="C186" s="30" t="s">
        <v>562</v>
      </c>
      <c r="D186" s="30">
        <v>6.49</v>
      </c>
      <c r="E186" s="3">
        <v>3711</v>
      </c>
      <c r="F186" s="7">
        <v>48243</v>
      </c>
      <c r="G186" s="7">
        <v>11</v>
      </c>
      <c r="H186" t="str">
        <f t="shared" si="2"/>
        <v>Before</v>
      </c>
    </row>
    <row r="187" spans="1:8" x14ac:dyDescent="0.3">
      <c r="A187" s="30" t="s">
        <v>585</v>
      </c>
      <c r="B187" s="7" t="s">
        <v>462</v>
      </c>
      <c r="C187" s="30" t="s">
        <v>564</v>
      </c>
      <c r="D187" s="30">
        <v>6.73</v>
      </c>
      <c r="E187" s="3">
        <v>606</v>
      </c>
      <c r="F187" s="7">
        <v>7878</v>
      </c>
      <c r="G187" s="7">
        <v>239</v>
      </c>
      <c r="H187" t="str">
        <f t="shared" si="2"/>
        <v>Before</v>
      </c>
    </row>
    <row r="188" spans="1:8" x14ac:dyDescent="0.3">
      <c r="A188" s="30" t="s">
        <v>585</v>
      </c>
      <c r="B188" s="7" t="s">
        <v>355</v>
      </c>
      <c r="C188" s="30" t="s">
        <v>565</v>
      </c>
      <c r="D188" s="30">
        <v>4.83</v>
      </c>
      <c r="E188" s="3">
        <v>4689</v>
      </c>
      <c r="F188" s="7">
        <v>51579</v>
      </c>
      <c r="G188" s="7">
        <v>173</v>
      </c>
      <c r="H188" t="str">
        <f t="shared" si="2"/>
        <v>Before</v>
      </c>
    </row>
    <row r="189" spans="1:8" x14ac:dyDescent="0.3">
      <c r="A189" s="30" t="s">
        <v>585</v>
      </c>
      <c r="B189" s="7" t="s">
        <v>463</v>
      </c>
      <c r="C189" s="30" t="s">
        <v>563</v>
      </c>
      <c r="D189" s="30">
        <v>5.3</v>
      </c>
      <c r="E189" s="3">
        <v>360</v>
      </c>
      <c r="F189" s="7">
        <v>4680</v>
      </c>
      <c r="G189" s="7">
        <v>208</v>
      </c>
      <c r="H189" t="str">
        <f t="shared" si="2"/>
        <v>Before</v>
      </c>
    </row>
    <row r="190" spans="1:8" x14ac:dyDescent="0.3">
      <c r="A190" s="30" t="s">
        <v>585</v>
      </c>
      <c r="B190" s="7" t="s">
        <v>464</v>
      </c>
      <c r="C190" s="30" t="s">
        <v>562</v>
      </c>
      <c r="D190" s="30">
        <v>6.54</v>
      </c>
      <c r="E190" s="3">
        <v>3215</v>
      </c>
      <c r="F190" s="7">
        <v>32150</v>
      </c>
      <c r="G190" s="7">
        <v>251</v>
      </c>
      <c r="H190" t="str">
        <f t="shared" si="2"/>
        <v>Before</v>
      </c>
    </row>
    <row r="191" spans="1:8" x14ac:dyDescent="0.3">
      <c r="A191" s="30" t="s">
        <v>586</v>
      </c>
      <c r="B191" s="7" t="s">
        <v>465</v>
      </c>
      <c r="C191" s="30"/>
      <c r="D191" s="30">
        <v>6.8</v>
      </c>
      <c r="E191" s="3">
        <v>4523</v>
      </c>
      <c r="F191" s="7">
        <v>49753</v>
      </c>
      <c r="G191" s="7">
        <v>71</v>
      </c>
      <c r="H191" t="str">
        <f t="shared" si="2"/>
        <v>Before</v>
      </c>
    </row>
    <row r="192" spans="1:8" x14ac:dyDescent="0.3">
      <c r="A192" s="30" t="s">
        <v>586</v>
      </c>
      <c r="B192" s="7" t="s">
        <v>449</v>
      </c>
      <c r="C192" s="30" t="s">
        <v>564</v>
      </c>
      <c r="D192" s="30">
        <v>2.6</v>
      </c>
      <c r="E192" s="3">
        <v>4292</v>
      </c>
      <c r="F192" s="7">
        <v>55796</v>
      </c>
      <c r="G192" s="7">
        <v>264</v>
      </c>
      <c r="H192" t="str">
        <f t="shared" si="2"/>
        <v>Before</v>
      </c>
    </row>
    <row r="193" spans="1:8" x14ac:dyDescent="0.3">
      <c r="A193" s="30" t="s">
        <v>586</v>
      </c>
      <c r="B193" s="7" t="s">
        <v>466</v>
      </c>
      <c r="C193" s="30" t="s">
        <v>564</v>
      </c>
      <c r="D193" s="30">
        <v>2.44</v>
      </c>
      <c r="E193" s="3">
        <v>1644</v>
      </c>
      <c r="F193" s="7">
        <v>27948</v>
      </c>
      <c r="G193" s="7">
        <v>300</v>
      </c>
      <c r="H193" t="str">
        <f t="shared" si="2"/>
        <v>Before</v>
      </c>
    </row>
    <row r="194" spans="1:8" x14ac:dyDescent="0.3">
      <c r="A194" s="30" t="s">
        <v>586</v>
      </c>
      <c r="B194" s="7" t="s">
        <v>402</v>
      </c>
      <c r="C194" s="30" t="s">
        <v>563</v>
      </c>
      <c r="D194" s="30">
        <v>3.09</v>
      </c>
      <c r="E194" s="3">
        <v>2728</v>
      </c>
      <c r="F194" s="7">
        <v>40920</v>
      </c>
      <c r="G194" s="7">
        <v>137</v>
      </c>
      <c r="H194" t="str">
        <f t="shared" si="2"/>
        <v>Before</v>
      </c>
    </row>
    <row r="195" spans="1:8" x14ac:dyDescent="0.3">
      <c r="A195" s="30" t="s">
        <v>455</v>
      </c>
      <c r="B195" s="7" t="s">
        <v>406</v>
      </c>
      <c r="C195" s="30" t="s">
        <v>562</v>
      </c>
      <c r="D195" s="30">
        <v>5.69</v>
      </c>
      <c r="E195" s="3">
        <v>3360</v>
      </c>
      <c r="F195" s="7">
        <v>60480</v>
      </c>
      <c r="G195" s="7">
        <v>192</v>
      </c>
      <c r="H195" t="str">
        <f t="shared" si="2"/>
        <v>Before</v>
      </c>
    </row>
    <row r="196" spans="1:8" x14ac:dyDescent="0.3">
      <c r="A196" s="30" t="s">
        <v>455</v>
      </c>
      <c r="B196" s="7" t="s">
        <v>467</v>
      </c>
      <c r="C196" s="30"/>
      <c r="D196" s="30">
        <v>3.86</v>
      </c>
      <c r="E196" s="3">
        <v>1963</v>
      </c>
      <c r="F196" s="7">
        <v>39260</v>
      </c>
      <c r="G196" s="7">
        <v>145</v>
      </c>
      <c r="H196" t="str">
        <f t="shared" si="2"/>
        <v>Before</v>
      </c>
    </row>
    <row r="197" spans="1:8" x14ac:dyDescent="0.3">
      <c r="A197" s="30" t="s">
        <v>455</v>
      </c>
      <c r="B197" s="7" t="s">
        <v>454</v>
      </c>
      <c r="C197" s="30" t="s">
        <v>564</v>
      </c>
      <c r="D197" s="30">
        <v>3.16</v>
      </c>
      <c r="E197" s="3">
        <v>4285</v>
      </c>
      <c r="F197" s="7">
        <v>55705</v>
      </c>
      <c r="G197" s="7">
        <v>51</v>
      </c>
      <c r="H197" t="str">
        <f t="shared" si="2"/>
        <v>Before</v>
      </c>
    </row>
    <row r="198" spans="1:8" x14ac:dyDescent="0.3">
      <c r="A198" s="30" t="s">
        <v>455</v>
      </c>
      <c r="B198" s="7" t="s">
        <v>468</v>
      </c>
      <c r="C198" s="30"/>
      <c r="D198" s="30">
        <v>1.6</v>
      </c>
      <c r="E198" s="3">
        <v>1176</v>
      </c>
      <c r="F198" s="7">
        <v>14112</v>
      </c>
      <c r="G198" s="7">
        <v>272</v>
      </c>
      <c r="H198" t="str">
        <f t="shared" si="2"/>
        <v>Before</v>
      </c>
    </row>
    <row r="199" spans="1:8" x14ac:dyDescent="0.3">
      <c r="A199" s="30" t="s">
        <v>340</v>
      </c>
      <c r="B199" s="7" t="s">
        <v>469</v>
      </c>
      <c r="C199" s="30" t="s">
        <v>564</v>
      </c>
      <c r="D199" s="30">
        <v>6.09</v>
      </c>
      <c r="E199" s="3">
        <v>4858</v>
      </c>
      <c r="F199" s="7">
        <v>53438</v>
      </c>
      <c r="G199" s="7">
        <v>223</v>
      </c>
      <c r="H199" t="str">
        <f t="shared" si="2"/>
        <v>Before</v>
      </c>
    </row>
    <row r="200" spans="1:8" x14ac:dyDescent="0.3">
      <c r="A200" s="30" t="s">
        <v>340</v>
      </c>
      <c r="B200" s="7" t="s">
        <v>424</v>
      </c>
      <c r="C200" s="30" t="s">
        <v>562</v>
      </c>
      <c r="D200" s="30">
        <v>5.59</v>
      </c>
      <c r="E200" s="3">
        <v>4350</v>
      </c>
      <c r="F200" s="7">
        <v>60900</v>
      </c>
      <c r="G200" s="7">
        <v>195</v>
      </c>
      <c r="H200" t="str">
        <f t="shared" ref="H200:H263" si="3">IF(B200&lt;A200,"Before","During")</f>
        <v>Before</v>
      </c>
    </row>
    <row r="201" spans="1:8" x14ac:dyDescent="0.3">
      <c r="A201" s="30" t="s">
        <v>340</v>
      </c>
      <c r="B201" s="7" t="s">
        <v>470</v>
      </c>
      <c r="C201" s="30" t="s">
        <v>565</v>
      </c>
      <c r="D201" s="30">
        <v>3.55</v>
      </c>
      <c r="E201" s="3">
        <v>914</v>
      </c>
      <c r="F201" s="7">
        <v>11882</v>
      </c>
      <c r="G201" s="7">
        <v>282</v>
      </c>
      <c r="H201" t="str">
        <f t="shared" si="3"/>
        <v>Before</v>
      </c>
    </row>
    <row r="202" spans="1:8" x14ac:dyDescent="0.3">
      <c r="A202" s="30" t="s">
        <v>340</v>
      </c>
      <c r="B202" s="7" t="s">
        <v>471</v>
      </c>
      <c r="C202" s="30" t="s">
        <v>564</v>
      </c>
      <c r="D202" s="30">
        <v>5.21</v>
      </c>
      <c r="E202" s="3">
        <v>1813</v>
      </c>
      <c r="F202" s="7">
        <v>19943</v>
      </c>
      <c r="G202" s="7">
        <v>85</v>
      </c>
      <c r="H202" t="str">
        <f t="shared" si="3"/>
        <v>Before</v>
      </c>
    </row>
    <row r="203" spans="1:8" x14ac:dyDescent="0.3">
      <c r="A203" s="30" t="s">
        <v>317</v>
      </c>
      <c r="B203" s="7" t="s">
        <v>446</v>
      </c>
      <c r="C203" s="30" t="s">
        <v>562</v>
      </c>
      <c r="D203" s="30">
        <v>1.82</v>
      </c>
      <c r="E203" s="3">
        <v>4782</v>
      </c>
      <c r="F203" s="7">
        <v>86076</v>
      </c>
      <c r="G203" s="7">
        <v>19</v>
      </c>
      <c r="H203" t="str">
        <f t="shared" si="3"/>
        <v>Before</v>
      </c>
    </row>
    <row r="204" spans="1:8" x14ac:dyDescent="0.3">
      <c r="A204" s="30" t="s">
        <v>317</v>
      </c>
      <c r="B204" s="7" t="s">
        <v>472</v>
      </c>
      <c r="C204" s="30" t="s">
        <v>564</v>
      </c>
      <c r="D204" s="30">
        <v>4</v>
      </c>
      <c r="E204" s="3">
        <v>1048</v>
      </c>
      <c r="F204" s="7">
        <v>9432</v>
      </c>
      <c r="G204" s="7">
        <v>158</v>
      </c>
      <c r="H204" t="str">
        <f t="shared" si="3"/>
        <v>Before</v>
      </c>
    </row>
    <row r="205" spans="1:8" x14ac:dyDescent="0.3">
      <c r="A205" s="30" t="s">
        <v>317</v>
      </c>
      <c r="B205" s="7" t="s">
        <v>358</v>
      </c>
      <c r="C205" s="30" t="s">
        <v>563</v>
      </c>
      <c r="D205" s="30">
        <v>7.57</v>
      </c>
      <c r="E205" s="3">
        <v>2509</v>
      </c>
      <c r="F205" s="7">
        <v>35126</v>
      </c>
      <c r="G205" s="7">
        <v>277</v>
      </c>
      <c r="H205" t="str">
        <f t="shared" si="3"/>
        <v>Before</v>
      </c>
    </row>
    <row r="206" spans="1:8" x14ac:dyDescent="0.3">
      <c r="A206" s="30" t="s">
        <v>317</v>
      </c>
      <c r="B206" s="7" t="s">
        <v>473</v>
      </c>
      <c r="C206" s="30" t="s">
        <v>563</v>
      </c>
      <c r="D206" s="30">
        <v>6.81</v>
      </c>
      <c r="E206" s="3">
        <v>3718</v>
      </c>
      <c r="F206" s="7">
        <v>70642</v>
      </c>
      <c r="G206" s="7">
        <v>233</v>
      </c>
      <c r="H206" t="str">
        <f t="shared" si="3"/>
        <v>Before</v>
      </c>
    </row>
    <row r="207" spans="1:8" x14ac:dyDescent="0.3">
      <c r="B207" s="7" t="s">
        <v>474</v>
      </c>
      <c r="C207" s="30" t="s">
        <v>562</v>
      </c>
      <c r="E207" s="3">
        <v>802</v>
      </c>
      <c r="F207" s="7">
        <v>14436</v>
      </c>
      <c r="G207" s="7">
        <v>49</v>
      </c>
      <c r="H207" t="str">
        <f t="shared" si="3"/>
        <v>During</v>
      </c>
    </row>
    <row r="208" spans="1:8" x14ac:dyDescent="0.3">
      <c r="B208" s="7" t="s">
        <v>475</v>
      </c>
      <c r="C208" s="30" t="s">
        <v>564</v>
      </c>
      <c r="E208" s="3">
        <v>1871</v>
      </c>
      <c r="F208" s="7">
        <v>29936</v>
      </c>
      <c r="G208" s="7">
        <v>288</v>
      </c>
      <c r="H208" t="str">
        <f t="shared" si="3"/>
        <v>During</v>
      </c>
    </row>
    <row r="209" spans="2:8" x14ac:dyDescent="0.3">
      <c r="B209" s="7" t="s">
        <v>476</v>
      </c>
      <c r="C209" s="30" t="s">
        <v>562</v>
      </c>
      <c r="E209" s="3">
        <v>3773</v>
      </c>
      <c r="F209" s="7">
        <v>71687</v>
      </c>
      <c r="G209" s="7">
        <v>286</v>
      </c>
      <c r="H209" t="str">
        <f t="shared" si="3"/>
        <v>During</v>
      </c>
    </row>
    <row r="210" spans="2:8" x14ac:dyDescent="0.3">
      <c r="B210" s="7" t="s">
        <v>444</v>
      </c>
      <c r="C210" s="30" t="s">
        <v>564</v>
      </c>
      <c r="E210" s="3">
        <v>2234</v>
      </c>
      <c r="F210" s="7">
        <v>11170</v>
      </c>
      <c r="G210" s="7">
        <v>198</v>
      </c>
      <c r="H210" t="str">
        <f t="shared" si="3"/>
        <v>During</v>
      </c>
    </row>
    <row r="211" spans="2:8" x14ac:dyDescent="0.3">
      <c r="B211" s="7" t="s">
        <v>434</v>
      </c>
      <c r="C211" s="30" t="s">
        <v>565</v>
      </c>
      <c r="E211" s="3">
        <v>3820</v>
      </c>
      <c r="F211" s="7">
        <v>45840</v>
      </c>
      <c r="G211" s="7">
        <v>171</v>
      </c>
      <c r="H211" t="str">
        <f t="shared" si="3"/>
        <v>During</v>
      </c>
    </row>
    <row r="212" spans="2:8" x14ac:dyDescent="0.3">
      <c r="B212" s="7" t="s">
        <v>327</v>
      </c>
      <c r="C212" s="30" t="s">
        <v>562</v>
      </c>
      <c r="E212" s="3">
        <v>941</v>
      </c>
      <c r="F212" s="7">
        <v>14115</v>
      </c>
      <c r="G212" s="7">
        <v>87</v>
      </c>
      <c r="H212" t="str">
        <f t="shared" si="3"/>
        <v>During</v>
      </c>
    </row>
    <row r="213" spans="2:8" x14ac:dyDescent="0.3">
      <c r="B213" s="7" t="s">
        <v>477</v>
      </c>
      <c r="C213" s="30" t="s">
        <v>564</v>
      </c>
      <c r="E213" s="3">
        <v>4274</v>
      </c>
      <c r="F213" s="7">
        <v>34192</v>
      </c>
      <c r="G213" s="7">
        <v>129</v>
      </c>
      <c r="H213" t="str">
        <f t="shared" si="3"/>
        <v>During</v>
      </c>
    </row>
    <row r="214" spans="2:8" x14ac:dyDescent="0.3">
      <c r="B214" s="7" t="s">
        <v>327</v>
      </c>
      <c r="C214" s="30" t="s">
        <v>563</v>
      </c>
      <c r="E214" s="3">
        <v>2949</v>
      </c>
      <c r="F214" s="7">
        <v>44235</v>
      </c>
      <c r="G214" s="7">
        <v>135</v>
      </c>
      <c r="H214" t="str">
        <f t="shared" si="3"/>
        <v>During</v>
      </c>
    </row>
    <row r="215" spans="2:8" x14ac:dyDescent="0.3">
      <c r="B215" s="7" t="s">
        <v>478</v>
      </c>
      <c r="C215" s="30" t="s">
        <v>565</v>
      </c>
      <c r="E215" s="3">
        <v>3160</v>
      </c>
      <c r="F215" s="7">
        <v>44240</v>
      </c>
      <c r="G215" s="7">
        <v>49</v>
      </c>
      <c r="H215" t="str">
        <f t="shared" si="3"/>
        <v>During</v>
      </c>
    </row>
    <row r="216" spans="2:8" x14ac:dyDescent="0.3">
      <c r="B216" s="7" t="s">
        <v>450</v>
      </c>
      <c r="C216" s="30" t="s">
        <v>562</v>
      </c>
      <c r="E216" s="3">
        <v>257</v>
      </c>
      <c r="F216" s="7">
        <v>3341</v>
      </c>
      <c r="G216" s="7">
        <v>287</v>
      </c>
      <c r="H216" t="str">
        <f t="shared" si="3"/>
        <v>During</v>
      </c>
    </row>
    <row r="217" spans="2:8" x14ac:dyDescent="0.3">
      <c r="B217" s="7" t="s">
        <v>479</v>
      </c>
      <c r="C217" s="30" t="s">
        <v>565</v>
      </c>
      <c r="E217" s="3">
        <v>2120</v>
      </c>
      <c r="F217" s="7">
        <v>12720</v>
      </c>
      <c r="G217" s="7">
        <v>21</v>
      </c>
      <c r="H217" t="str">
        <f t="shared" si="3"/>
        <v>During</v>
      </c>
    </row>
    <row r="218" spans="2:8" x14ac:dyDescent="0.3">
      <c r="B218" s="7" t="s">
        <v>391</v>
      </c>
      <c r="C218" s="30" t="s">
        <v>563</v>
      </c>
      <c r="E218" s="3">
        <v>3874</v>
      </c>
      <c r="F218" s="7">
        <v>38740</v>
      </c>
      <c r="G218" s="7">
        <v>219</v>
      </c>
      <c r="H218" t="str">
        <f t="shared" si="3"/>
        <v>During</v>
      </c>
    </row>
    <row r="219" spans="2:8" x14ac:dyDescent="0.3">
      <c r="B219" s="7" t="s">
        <v>480</v>
      </c>
      <c r="C219" s="30" t="s">
        <v>565</v>
      </c>
      <c r="E219" s="3">
        <v>2696</v>
      </c>
      <c r="F219" s="7">
        <v>45832</v>
      </c>
      <c r="G219" s="7">
        <v>248</v>
      </c>
      <c r="H219" t="str">
        <f t="shared" si="3"/>
        <v>During</v>
      </c>
    </row>
    <row r="220" spans="2:8" x14ac:dyDescent="0.3">
      <c r="B220" s="7" t="s">
        <v>312</v>
      </c>
      <c r="C220" s="30" t="s">
        <v>563</v>
      </c>
      <c r="E220" s="3">
        <v>521</v>
      </c>
      <c r="F220" s="7">
        <v>4168</v>
      </c>
      <c r="G220" s="7">
        <v>282</v>
      </c>
      <c r="H220" t="str">
        <f t="shared" si="3"/>
        <v>During</v>
      </c>
    </row>
    <row r="221" spans="2:8" x14ac:dyDescent="0.3">
      <c r="B221" s="7" t="s">
        <v>481</v>
      </c>
      <c r="C221" s="30" t="s">
        <v>563</v>
      </c>
      <c r="E221" s="3">
        <v>4872</v>
      </c>
      <c r="F221" s="7">
        <v>82824</v>
      </c>
      <c r="G221" s="7">
        <v>89</v>
      </c>
      <c r="H221" t="str">
        <f t="shared" si="3"/>
        <v>During</v>
      </c>
    </row>
    <row r="222" spans="2:8" x14ac:dyDescent="0.3">
      <c r="B222" s="7" t="s">
        <v>421</v>
      </c>
      <c r="C222" s="30" t="s">
        <v>563</v>
      </c>
      <c r="E222" s="3">
        <v>1509</v>
      </c>
      <c r="F222" s="7">
        <v>30180</v>
      </c>
      <c r="G222" s="7">
        <v>119</v>
      </c>
      <c r="H222" t="str">
        <f t="shared" si="3"/>
        <v>During</v>
      </c>
    </row>
    <row r="223" spans="2:8" x14ac:dyDescent="0.3">
      <c r="B223" s="7" t="s">
        <v>454</v>
      </c>
      <c r="C223" s="30"/>
      <c r="E223" s="3">
        <v>4606</v>
      </c>
      <c r="F223" s="7">
        <v>92120</v>
      </c>
      <c r="G223" s="7">
        <v>56</v>
      </c>
      <c r="H223" t="str">
        <f t="shared" si="3"/>
        <v>During</v>
      </c>
    </row>
    <row r="224" spans="2:8" x14ac:dyDescent="0.3">
      <c r="B224" s="7" t="s">
        <v>414</v>
      </c>
      <c r="C224" s="30" t="s">
        <v>565</v>
      </c>
      <c r="E224" s="3">
        <v>1869</v>
      </c>
      <c r="F224" s="7">
        <v>14952</v>
      </c>
      <c r="G224" s="7">
        <v>275</v>
      </c>
      <c r="H224" t="str">
        <f t="shared" si="3"/>
        <v>During</v>
      </c>
    </row>
    <row r="225" spans="2:8" x14ac:dyDescent="0.3">
      <c r="B225" s="7" t="s">
        <v>381</v>
      </c>
      <c r="C225" s="30" t="s">
        <v>565</v>
      </c>
      <c r="E225" s="3">
        <v>1188</v>
      </c>
      <c r="F225" s="7">
        <v>7128</v>
      </c>
      <c r="G225" s="7">
        <v>270</v>
      </c>
      <c r="H225" t="str">
        <f t="shared" si="3"/>
        <v>During</v>
      </c>
    </row>
    <row r="226" spans="2:8" x14ac:dyDescent="0.3">
      <c r="B226" s="7" t="s">
        <v>475</v>
      </c>
      <c r="C226" s="30"/>
      <c r="E226" s="3">
        <v>84</v>
      </c>
      <c r="F226" s="7">
        <v>588</v>
      </c>
      <c r="G226" s="7">
        <v>12</v>
      </c>
      <c r="H226" t="str">
        <f t="shared" si="3"/>
        <v>During</v>
      </c>
    </row>
    <row r="227" spans="2:8" x14ac:dyDescent="0.3">
      <c r="B227" s="7" t="s">
        <v>415</v>
      </c>
      <c r="C227" s="30"/>
      <c r="E227" s="3">
        <v>4453</v>
      </c>
      <c r="F227" s="7">
        <v>31171</v>
      </c>
      <c r="G227" s="7">
        <v>23</v>
      </c>
      <c r="H227" t="str">
        <f t="shared" si="3"/>
        <v>During</v>
      </c>
    </row>
    <row r="228" spans="2:8" x14ac:dyDescent="0.3">
      <c r="B228" s="7" t="s">
        <v>482</v>
      </c>
      <c r="C228" s="30" t="s">
        <v>562</v>
      </c>
      <c r="E228" s="3">
        <v>1814</v>
      </c>
      <c r="F228" s="7">
        <v>25396</v>
      </c>
      <c r="G228" s="7">
        <v>39</v>
      </c>
      <c r="H228" t="str">
        <f t="shared" si="3"/>
        <v>During</v>
      </c>
    </row>
    <row r="229" spans="2:8" x14ac:dyDescent="0.3">
      <c r="B229" s="7" t="s">
        <v>453</v>
      </c>
      <c r="C229" s="30"/>
      <c r="E229" s="3">
        <v>3338</v>
      </c>
      <c r="F229" s="7">
        <v>60084</v>
      </c>
      <c r="G229" s="7">
        <v>252</v>
      </c>
      <c r="H229" t="str">
        <f t="shared" si="3"/>
        <v>During</v>
      </c>
    </row>
    <row r="230" spans="2:8" x14ac:dyDescent="0.3">
      <c r="B230" s="7" t="s">
        <v>483</v>
      </c>
      <c r="C230" s="30" t="s">
        <v>564</v>
      </c>
      <c r="E230" s="3">
        <v>602</v>
      </c>
      <c r="F230" s="7">
        <v>4214</v>
      </c>
      <c r="G230" s="7">
        <v>164</v>
      </c>
      <c r="H230" t="str">
        <f t="shared" si="3"/>
        <v>During</v>
      </c>
    </row>
    <row r="231" spans="2:8" x14ac:dyDescent="0.3">
      <c r="B231" s="7" t="s">
        <v>460</v>
      </c>
      <c r="C231" s="30"/>
      <c r="E231" s="3">
        <v>4672</v>
      </c>
      <c r="F231" s="7">
        <v>88768</v>
      </c>
      <c r="G231" s="7">
        <v>118</v>
      </c>
      <c r="H231" t="str">
        <f t="shared" si="3"/>
        <v>During</v>
      </c>
    </row>
    <row r="232" spans="2:8" x14ac:dyDescent="0.3">
      <c r="B232" s="7" t="s">
        <v>484</v>
      </c>
      <c r="C232" s="30"/>
      <c r="E232" s="3">
        <v>1741</v>
      </c>
      <c r="F232" s="7">
        <v>8705</v>
      </c>
      <c r="G232" s="7">
        <v>121</v>
      </c>
      <c r="H232" t="str">
        <f t="shared" si="3"/>
        <v>During</v>
      </c>
    </row>
    <row r="233" spans="2:8" x14ac:dyDescent="0.3">
      <c r="B233" s="7" t="s">
        <v>485</v>
      </c>
      <c r="C233" s="30" t="s">
        <v>564</v>
      </c>
      <c r="E233" s="3">
        <v>246</v>
      </c>
      <c r="F233" s="7">
        <v>4674</v>
      </c>
      <c r="G233" s="7">
        <v>217</v>
      </c>
      <c r="H233" t="str">
        <f t="shared" si="3"/>
        <v>During</v>
      </c>
    </row>
    <row r="234" spans="2:8" x14ac:dyDescent="0.3">
      <c r="B234" s="7" t="s">
        <v>486</v>
      </c>
      <c r="C234" s="30" t="s">
        <v>562</v>
      </c>
      <c r="E234" s="3">
        <v>4808</v>
      </c>
      <c r="F234" s="7">
        <v>72120</v>
      </c>
      <c r="G234" s="7">
        <v>195</v>
      </c>
      <c r="H234" t="str">
        <f t="shared" si="3"/>
        <v>During</v>
      </c>
    </row>
    <row r="235" spans="2:8" x14ac:dyDescent="0.3">
      <c r="B235" s="7" t="s">
        <v>372</v>
      </c>
      <c r="C235" s="30"/>
      <c r="E235" s="3">
        <v>4799</v>
      </c>
      <c r="F235" s="7">
        <v>43191</v>
      </c>
      <c r="G235" s="7">
        <v>118</v>
      </c>
      <c r="H235" t="str">
        <f t="shared" si="3"/>
        <v>During</v>
      </c>
    </row>
    <row r="236" spans="2:8" x14ac:dyDescent="0.3">
      <c r="B236" s="7" t="s">
        <v>438</v>
      </c>
      <c r="C236" s="30" t="s">
        <v>564</v>
      </c>
      <c r="E236" s="3">
        <v>3663</v>
      </c>
      <c r="F236" s="7">
        <v>51282</v>
      </c>
      <c r="G236" s="7">
        <v>84</v>
      </c>
      <c r="H236" t="str">
        <f t="shared" si="3"/>
        <v>During</v>
      </c>
    </row>
    <row r="237" spans="2:8" x14ac:dyDescent="0.3">
      <c r="B237" s="7" t="s">
        <v>480</v>
      </c>
      <c r="C237" s="30" t="s">
        <v>562</v>
      </c>
      <c r="E237" s="3">
        <v>1430</v>
      </c>
      <c r="F237" s="7">
        <v>21450</v>
      </c>
      <c r="G237" s="7">
        <v>251</v>
      </c>
      <c r="H237" t="str">
        <f t="shared" si="3"/>
        <v>During</v>
      </c>
    </row>
    <row r="238" spans="2:8" x14ac:dyDescent="0.3">
      <c r="B238" s="7" t="s">
        <v>487</v>
      </c>
      <c r="C238" s="30" t="s">
        <v>565</v>
      </c>
      <c r="E238" s="3">
        <v>249</v>
      </c>
      <c r="F238" s="7">
        <v>1494</v>
      </c>
      <c r="G238" s="7">
        <v>201</v>
      </c>
      <c r="H238" t="str">
        <f t="shared" si="3"/>
        <v>During</v>
      </c>
    </row>
    <row r="239" spans="2:8" x14ac:dyDescent="0.3">
      <c r="B239" s="7" t="s">
        <v>364</v>
      </c>
      <c r="C239" s="30" t="s">
        <v>565</v>
      </c>
      <c r="E239" s="3">
        <v>2382</v>
      </c>
      <c r="F239" s="7">
        <v>38112</v>
      </c>
      <c r="G239" s="7">
        <v>249</v>
      </c>
      <c r="H239" t="str">
        <f t="shared" si="3"/>
        <v>During</v>
      </c>
    </row>
    <row r="240" spans="2:8" x14ac:dyDescent="0.3">
      <c r="B240" s="7" t="s">
        <v>488</v>
      </c>
      <c r="C240" s="30"/>
      <c r="E240" s="3">
        <v>1272</v>
      </c>
      <c r="F240" s="7">
        <v>24168</v>
      </c>
      <c r="G240" s="7">
        <v>42</v>
      </c>
      <c r="H240" t="str">
        <f t="shared" si="3"/>
        <v>During</v>
      </c>
    </row>
    <row r="241" spans="2:8" x14ac:dyDescent="0.3">
      <c r="B241" s="7" t="s">
        <v>466</v>
      </c>
      <c r="C241" s="30" t="s">
        <v>564</v>
      </c>
      <c r="E241" s="3">
        <v>3196</v>
      </c>
      <c r="F241" s="7">
        <v>35156</v>
      </c>
      <c r="G241" s="7">
        <v>241</v>
      </c>
      <c r="H241" t="str">
        <f t="shared" si="3"/>
        <v>During</v>
      </c>
    </row>
    <row r="242" spans="2:8" x14ac:dyDescent="0.3">
      <c r="B242" s="7" t="s">
        <v>341</v>
      </c>
      <c r="C242" s="30" t="s">
        <v>563</v>
      </c>
      <c r="E242" s="3">
        <v>1257</v>
      </c>
      <c r="F242" s="7">
        <v>12570</v>
      </c>
      <c r="G242" s="7">
        <v>194</v>
      </c>
      <c r="H242" t="str">
        <f t="shared" si="3"/>
        <v>During</v>
      </c>
    </row>
    <row r="243" spans="2:8" x14ac:dyDescent="0.3">
      <c r="B243" s="7" t="s">
        <v>446</v>
      </c>
      <c r="C243" s="30" t="s">
        <v>562</v>
      </c>
      <c r="E243" s="3">
        <v>3770</v>
      </c>
      <c r="F243" s="7">
        <v>71630</v>
      </c>
      <c r="G243" s="7">
        <v>76</v>
      </c>
      <c r="H243" t="str">
        <f t="shared" si="3"/>
        <v>During</v>
      </c>
    </row>
    <row r="244" spans="2:8" x14ac:dyDescent="0.3">
      <c r="B244" s="7" t="s">
        <v>489</v>
      </c>
      <c r="C244" s="30" t="s">
        <v>565</v>
      </c>
      <c r="E244" s="3">
        <v>4725</v>
      </c>
      <c r="F244" s="7">
        <v>75600</v>
      </c>
      <c r="G244" s="7">
        <v>43</v>
      </c>
      <c r="H244" t="str">
        <f t="shared" si="3"/>
        <v>During</v>
      </c>
    </row>
    <row r="245" spans="2:8" x14ac:dyDescent="0.3">
      <c r="B245" s="7" t="s">
        <v>370</v>
      </c>
      <c r="C245" s="30"/>
      <c r="E245" s="3">
        <v>4188</v>
      </c>
      <c r="F245" s="7">
        <v>20940</v>
      </c>
      <c r="G245" s="7">
        <v>102</v>
      </c>
      <c r="H245" t="str">
        <f t="shared" si="3"/>
        <v>During</v>
      </c>
    </row>
    <row r="246" spans="2:8" x14ac:dyDescent="0.3">
      <c r="B246" s="7" t="s">
        <v>339</v>
      </c>
      <c r="C246" s="30" t="s">
        <v>564</v>
      </c>
      <c r="E246" s="3">
        <v>929</v>
      </c>
      <c r="F246" s="7">
        <v>16722</v>
      </c>
      <c r="G246" s="7">
        <v>145</v>
      </c>
      <c r="H246" t="str">
        <f t="shared" si="3"/>
        <v>During</v>
      </c>
    </row>
    <row r="247" spans="2:8" x14ac:dyDescent="0.3">
      <c r="B247" s="7" t="s">
        <v>490</v>
      </c>
      <c r="C247" s="30" t="s">
        <v>565</v>
      </c>
      <c r="E247" s="3">
        <v>4321</v>
      </c>
      <c r="F247" s="7">
        <v>30247</v>
      </c>
      <c r="G247" s="7">
        <v>122</v>
      </c>
      <c r="H247" t="str">
        <f t="shared" si="3"/>
        <v>During</v>
      </c>
    </row>
    <row r="248" spans="2:8" x14ac:dyDescent="0.3">
      <c r="B248" s="7" t="s">
        <v>403</v>
      </c>
      <c r="C248" s="30" t="s">
        <v>564</v>
      </c>
      <c r="E248" s="3">
        <v>4767</v>
      </c>
      <c r="F248" s="7">
        <v>28602</v>
      </c>
      <c r="G248" s="7">
        <v>210</v>
      </c>
      <c r="H248" t="str">
        <f t="shared" si="3"/>
        <v>During</v>
      </c>
    </row>
    <row r="249" spans="2:8" x14ac:dyDescent="0.3">
      <c r="B249" s="7" t="s">
        <v>491</v>
      </c>
      <c r="C249" s="30" t="s">
        <v>565</v>
      </c>
      <c r="E249" s="3">
        <v>3592</v>
      </c>
      <c r="F249" s="7">
        <v>50288</v>
      </c>
      <c r="G249" s="7">
        <v>32</v>
      </c>
      <c r="H249" t="str">
        <f t="shared" si="3"/>
        <v>During</v>
      </c>
    </row>
    <row r="250" spans="2:8" x14ac:dyDescent="0.3">
      <c r="B250" s="7" t="s">
        <v>492</v>
      </c>
      <c r="C250" s="30" t="s">
        <v>564</v>
      </c>
      <c r="E250" s="3">
        <v>4661</v>
      </c>
      <c r="F250" s="7">
        <v>23305</v>
      </c>
      <c r="G250" s="7">
        <v>63</v>
      </c>
      <c r="H250" t="str">
        <f t="shared" si="3"/>
        <v>During</v>
      </c>
    </row>
    <row r="251" spans="2:8" x14ac:dyDescent="0.3">
      <c r="B251" s="7" t="s">
        <v>493</v>
      </c>
      <c r="C251" s="30" t="s">
        <v>562</v>
      </c>
      <c r="E251" s="3">
        <v>4134</v>
      </c>
      <c r="F251" s="7">
        <v>41340</v>
      </c>
      <c r="G251" s="7">
        <v>177</v>
      </c>
      <c r="H251" t="str">
        <f t="shared" si="3"/>
        <v>During</v>
      </c>
    </row>
    <row r="252" spans="2:8" x14ac:dyDescent="0.3">
      <c r="B252" s="7" t="s">
        <v>494</v>
      </c>
      <c r="C252" s="30" t="s">
        <v>563</v>
      </c>
      <c r="E252" s="3">
        <v>400</v>
      </c>
      <c r="F252" s="7">
        <v>6400</v>
      </c>
      <c r="G252" s="7">
        <v>160</v>
      </c>
      <c r="H252" t="str">
        <f t="shared" si="3"/>
        <v>During</v>
      </c>
    </row>
    <row r="253" spans="2:8" x14ac:dyDescent="0.3">
      <c r="B253" s="7" t="s">
        <v>495</v>
      </c>
      <c r="C253" s="30"/>
      <c r="E253" s="3">
        <v>3960</v>
      </c>
      <c r="F253" s="7">
        <v>35640</v>
      </c>
      <c r="G253" s="7">
        <v>208</v>
      </c>
      <c r="H253" t="str">
        <f t="shared" si="3"/>
        <v>During</v>
      </c>
    </row>
    <row r="254" spans="2:8" x14ac:dyDescent="0.3">
      <c r="B254" s="7" t="s">
        <v>332</v>
      </c>
      <c r="C254" s="30"/>
      <c r="E254" s="3">
        <v>886</v>
      </c>
      <c r="F254" s="7">
        <v>4430</v>
      </c>
      <c r="G254" s="7">
        <v>212</v>
      </c>
      <c r="H254" t="str">
        <f t="shared" si="3"/>
        <v>During</v>
      </c>
    </row>
    <row r="255" spans="2:8" x14ac:dyDescent="0.3">
      <c r="B255" s="7" t="s">
        <v>479</v>
      </c>
      <c r="C255" s="30" t="s">
        <v>563</v>
      </c>
      <c r="E255" s="3">
        <v>827</v>
      </c>
      <c r="F255" s="7">
        <v>14886</v>
      </c>
      <c r="G255" s="7">
        <v>254</v>
      </c>
      <c r="H255" t="str">
        <f t="shared" si="3"/>
        <v>During</v>
      </c>
    </row>
    <row r="256" spans="2:8" x14ac:dyDescent="0.3">
      <c r="B256" s="7" t="s">
        <v>380</v>
      </c>
      <c r="C256" s="30"/>
      <c r="E256" s="3">
        <v>3813</v>
      </c>
      <c r="F256" s="7">
        <v>68634</v>
      </c>
      <c r="G256" s="7">
        <v>251</v>
      </c>
      <c r="H256" t="str">
        <f t="shared" si="3"/>
        <v>During</v>
      </c>
    </row>
    <row r="257" spans="2:8" x14ac:dyDescent="0.3">
      <c r="B257" s="7" t="s">
        <v>496</v>
      </c>
      <c r="C257" s="30"/>
      <c r="E257" s="3">
        <v>1377</v>
      </c>
      <c r="F257" s="7">
        <v>22032</v>
      </c>
      <c r="G257" s="7">
        <v>189</v>
      </c>
      <c r="H257" t="str">
        <f t="shared" si="3"/>
        <v>During</v>
      </c>
    </row>
    <row r="258" spans="2:8" x14ac:dyDescent="0.3">
      <c r="B258" s="7" t="s">
        <v>455</v>
      </c>
      <c r="C258" s="30" t="s">
        <v>564</v>
      </c>
      <c r="E258" s="3">
        <v>2089</v>
      </c>
      <c r="F258" s="7">
        <v>16712</v>
      </c>
      <c r="G258" s="7">
        <v>64</v>
      </c>
      <c r="H258" t="str">
        <f t="shared" si="3"/>
        <v>During</v>
      </c>
    </row>
    <row r="259" spans="2:8" x14ac:dyDescent="0.3">
      <c r="B259" s="7" t="s">
        <v>497</v>
      </c>
      <c r="C259" s="30"/>
      <c r="E259" s="3">
        <v>3791</v>
      </c>
      <c r="F259" s="7">
        <v>53074</v>
      </c>
      <c r="G259" s="7">
        <v>205</v>
      </c>
      <c r="H259" t="str">
        <f t="shared" si="3"/>
        <v>During</v>
      </c>
    </row>
    <row r="260" spans="2:8" x14ac:dyDescent="0.3">
      <c r="B260" s="7" t="s">
        <v>498</v>
      </c>
      <c r="C260" s="30" t="s">
        <v>563</v>
      </c>
      <c r="E260" s="3">
        <v>2692</v>
      </c>
      <c r="F260" s="7">
        <v>21536</v>
      </c>
      <c r="G260" s="7">
        <v>224</v>
      </c>
      <c r="H260" t="str">
        <f t="shared" si="3"/>
        <v>During</v>
      </c>
    </row>
    <row r="261" spans="2:8" x14ac:dyDescent="0.3">
      <c r="B261" s="7" t="s">
        <v>314</v>
      </c>
      <c r="C261" s="30" t="s">
        <v>565</v>
      </c>
      <c r="E261" s="3">
        <v>3767</v>
      </c>
      <c r="F261" s="7">
        <v>37670</v>
      </c>
      <c r="G261" s="7">
        <v>226</v>
      </c>
      <c r="H261" t="str">
        <f t="shared" si="3"/>
        <v>During</v>
      </c>
    </row>
    <row r="262" spans="2:8" x14ac:dyDescent="0.3">
      <c r="B262" s="7" t="s">
        <v>413</v>
      </c>
      <c r="C262" s="30" t="s">
        <v>563</v>
      </c>
      <c r="E262" s="3">
        <v>2143</v>
      </c>
      <c r="F262" s="7">
        <v>40717</v>
      </c>
      <c r="G262" s="7">
        <v>248</v>
      </c>
      <c r="H262" t="str">
        <f t="shared" si="3"/>
        <v>During</v>
      </c>
    </row>
    <row r="263" spans="2:8" x14ac:dyDescent="0.3">
      <c r="B263" s="7" t="s">
        <v>430</v>
      </c>
      <c r="C263" s="30" t="s">
        <v>563</v>
      </c>
      <c r="E263" s="3">
        <v>3090</v>
      </c>
      <c r="F263" s="7">
        <v>49440</v>
      </c>
      <c r="G263" s="7">
        <v>25</v>
      </c>
      <c r="H263" t="str">
        <f t="shared" si="3"/>
        <v>During</v>
      </c>
    </row>
    <row r="264" spans="2:8" x14ac:dyDescent="0.3">
      <c r="B264" s="7" t="s">
        <v>499</v>
      </c>
      <c r="C264" s="30" t="s">
        <v>563</v>
      </c>
      <c r="E264" s="3">
        <v>3601</v>
      </c>
      <c r="F264" s="7">
        <v>21606</v>
      </c>
      <c r="G264" s="7">
        <v>172</v>
      </c>
      <c r="H264" t="str">
        <f t="shared" ref="H264:H306" si="4">IF(B264&lt;A264,"Before","During")</f>
        <v>During</v>
      </c>
    </row>
    <row r="265" spans="2:8" x14ac:dyDescent="0.3">
      <c r="B265" s="7" t="s">
        <v>412</v>
      </c>
      <c r="C265" s="30" t="s">
        <v>562</v>
      </c>
      <c r="E265" s="3">
        <v>562</v>
      </c>
      <c r="F265" s="7">
        <v>3372</v>
      </c>
      <c r="G265" s="7">
        <v>93</v>
      </c>
      <c r="H265" t="str">
        <f t="shared" si="4"/>
        <v>During</v>
      </c>
    </row>
    <row r="266" spans="2:8" x14ac:dyDescent="0.3">
      <c r="B266" s="7" t="s">
        <v>500</v>
      </c>
      <c r="C266" s="30" t="s">
        <v>564</v>
      </c>
      <c r="E266" s="3">
        <v>4332</v>
      </c>
      <c r="F266" s="7">
        <v>60648</v>
      </c>
      <c r="G266" s="7">
        <v>10</v>
      </c>
      <c r="H266" t="str">
        <f t="shared" si="4"/>
        <v>During</v>
      </c>
    </row>
    <row r="267" spans="2:8" x14ac:dyDescent="0.3">
      <c r="B267" s="7" t="s">
        <v>501</v>
      </c>
      <c r="C267" s="30" t="s">
        <v>562</v>
      </c>
      <c r="E267" s="3">
        <v>4853</v>
      </c>
      <c r="F267" s="7">
        <v>72795</v>
      </c>
      <c r="G267" s="7">
        <v>170</v>
      </c>
      <c r="H267" t="str">
        <f t="shared" si="4"/>
        <v>During</v>
      </c>
    </row>
    <row r="268" spans="2:8" x14ac:dyDescent="0.3">
      <c r="B268" s="7" t="s">
        <v>490</v>
      </c>
      <c r="C268" s="30"/>
      <c r="E268" s="3">
        <v>1206</v>
      </c>
      <c r="F268" s="7">
        <v>9648</v>
      </c>
      <c r="G268" s="7">
        <v>237</v>
      </c>
      <c r="H268" t="str">
        <f t="shared" si="4"/>
        <v>During</v>
      </c>
    </row>
    <row r="269" spans="2:8" x14ac:dyDescent="0.3">
      <c r="B269" s="7" t="s">
        <v>502</v>
      </c>
      <c r="C269" s="30" t="s">
        <v>563</v>
      </c>
      <c r="E269" s="3">
        <v>2603</v>
      </c>
      <c r="F269" s="7">
        <v>13015</v>
      </c>
      <c r="G269" s="7">
        <v>20</v>
      </c>
      <c r="H269" t="str">
        <f t="shared" si="4"/>
        <v>During</v>
      </c>
    </row>
    <row r="270" spans="2:8" x14ac:dyDescent="0.3">
      <c r="B270" s="7" t="s">
        <v>503</v>
      </c>
      <c r="C270" s="30" t="s">
        <v>563</v>
      </c>
      <c r="E270" s="3">
        <v>59</v>
      </c>
      <c r="F270" s="7">
        <v>590</v>
      </c>
      <c r="G270" s="7">
        <v>293</v>
      </c>
      <c r="H270" t="str">
        <f t="shared" si="4"/>
        <v>During</v>
      </c>
    </row>
    <row r="271" spans="2:8" x14ac:dyDescent="0.3">
      <c r="B271" s="7" t="s">
        <v>504</v>
      </c>
      <c r="C271" s="30" t="s">
        <v>565</v>
      </c>
      <c r="E271" s="3">
        <v>1877</v>
      </c>
      <c r="F271" s="7">
        <v>11262</v>
      </c>
      <c r="G271" s="7">
        <v>41</v>
      </c>
      <c r="H271" t="str">
        <f t="shared" si="4"/>
        <v>During</v>
      </c>
    </row>
    <row r="272" spans="2:8" x14ac:dyDescent="0.3">
      <c r="B272" s="7" t="s">
        <v>362</v>
      </c>
      <c r="C272" s="30" t="s">
        <v>564</v>
      </c>
      <c r="E272" s="3">
        <v>4182</v>
      </c>
      <c r="F272" s="7">
        <v>50184</v>
      </c>
      <c r="G272" s="7">
        <v>10</v>
      </c>
      <c r="H272" t="str">
        <f t="shared" si="4"/>
        <v>During</v>
      </c>
    </row>
    <row r="273" spans="2:8" x14ac:dyDescent="0.3">
      <c r="B273" s="7" t="s">
        <v>467</v>
      </c>
      <c r="C273" s="30"/>
      <c r="E273" s="3">
        <v>4187</v>
      </c>
      <c r="F273" s="7">
        <v>66992</v>
      </c>
      <c r="G273" s="7">
        <v>62</v>
      </c>
      <c r="H273" t="str">
        <f t="shared" si="4"/>
        <v>During</v>
      </c>
    </row>
    <row r="274" spans="2:8" x14ac:dyDescent="0.3">
      <c r="B274" s="7" t="s">
        <v>505</v>
      </c>
      <c r="C274" s="30" t="s">
        <v>562</v>
      </c>
      <c r="E274" s="3">
        <v>4579</v>
      </c>
      <c r="F274" s="7">
        <v>59527</v>
      </c>
      <c r="G274" s="7">
        <v>269</v>
      </c>
      <c r="H274" t="str">
        <f t="shared" si="4"/>
        <v>During</v>
      </c>
    </row>
    <row r="275" spans="2:8" x14ac:dyDescent="0.3">
      <c r="B275" s="7" t="s">
        <v>506</v>
      </c>
      <c r="C275" s="30" t="s">
        <v>563</v>
      </c>
      <c r="E275" s="3">
        <v>4561</v>
      </c>
      <c r="F275" s="7">
        <v>22805</v>
      </c>
      <c r="G275" s="7">
        <v>45</v>
      </c>
      <c r="H275" t="str">
        <f t="shared" si="4"/>
        <v>During</v>
      </c>
    </row>
    <row r="276" spans="2:8" x14ac:dyDescent="0.3">
      <c r="B276" s="7" t="s">
        <v>474</v>
      </c>
      <c r="C276" s="30" t="s">
        <v>564</v>
      </c>
      <c r="E276" s="3">
        <v>3774</v>
      </c>
      <c r="F276" s="7">
        <v>60384</v>
      </c>
      <c r="G276" s="7">
        <v>241</v>
      </c>
      <c r="H276" t="str">
        <f t="shared" si="4"/>
        <v>During</v>
      </c>
    </row>
    <row r="277" spans="2:8" x14ac:dyDescent="0.3">
      <c r="B277" s="7" t="s">
        <v>507</v>
      </c>
      <c r="C277" s="30" t="s">
        <v>563</v>
      </c>
      <c r="E277" s="3">
        <v>3575</v>
      </c>
      <c r="F277" s="7">
        <v>21450</v>
      </c>
      <c r="G277" s="7">
        <v>195</v>
      </c>
      <c r="H277" t="str">
        <f t="shared" si="4"/>
        <v>During</v>
      </c>
    </row>
    <row r="278" spans="2:8" x14ac:dyDescent="0.3">
      <c r="B278" s="7" t="s">
        <v>496</v>
      </c>
      <c r="C278" s="30" t="s">
        <v>564</v>
      </c>
      <c r="E278" s="3">
        <v>4941</v>
      </c>
      <c r="F278" s="7">
        <v>39528</v>
      </c>
      <c r="G278" s="7">
        <v>217</v>
      </c>
      <c r="H278" t="str">
        <f t="shared" si="4"/>
        <v>During</v>
      </c>
    </row>
    <row r="279" spans="2:8" x14ac:dyDescent="0.3">
      <c r="B279" s="7" t="s">
        <v>508</v>
      </c>
      <c r="C279" s="30" t="s">
        <v>565</v>
      </c>
      <c r="E279" s="3">
        <v>3641</v>
      </c>
      <c r="F279" s="7">
        <v>40051</v>
      </c>
      <c r="G279" s="7">
        <v>296</v>
      </c>
      <c r="H279" t="str">
        <f t="shared" si="4"/>
        <v>During</v>
      </c>
    </row>
    <row r="280" spans="2:8" x14ac:dyDescent="0.3">
      <c r="B280" s="7" t="s">
        <v>444</v>
      </c>
      <c r="C280" s="30" t="s">
        <v>565</v>
      </c>
      <c r="E280" s="3">
        <v>3535</v>
      </c>
      <c r="F280" s="7">
        <v>53025</v>
      </c>
      <c r="G280" s="7">
        <v>44</v>
      </c>
      <c r="H280" t="str">
        <f t="shared" si="4"/>
        <v>During</v>
      </c>
    </row>
    <row r="281" spans="2:8" x14ac:dyDescent="0.3">
      <c r="B281" s="7" t="s">
        <v>499</v>
      </c>
      <c r="C281" s="30" t="s">
        <v>564</v>
      </c>
      <c r="E281" s="3">
        <v>1741</v>
      </c>
      <c r="F281" s="7">
        <v>17410</v>
      </c>
      <c r="G281" s="7">
        <v>58</v>
      </c>
      <c r="H281" t="str">
        <f t="shared" si="4"/>
        <v>During</v>
      </c>
    </row>
    <row r="282" spans="2:8" x14ac:dyDescent="0.3">
      <c r="B282" s="7" t="s">
        <v>509</v>
      </c>
      <c r="C282" s="30" t="s">
        <v>563</v>
      </c>
      <c r="E282" s="3">
        <v>1556</v>
      </c>
      <c r="F282" s="7">
        <v>9336</v>
      </c>
      <c r="G282" s="7">
        <v>137</v>
      </c>
      <c r="H282" t="str">
        <f t="shared" si="4"/>
        <v>During</v>
      </c>
    </row>
    <row r="283" spans="2:8" x14ac:dyDescent="0.3">
      <c r="B283" s="7" t="s">
        <v>430</v>
      </c>
      <c r="C283" s="30" t="s">
        <v>562</v>
      </c>
      <c r="E283" s="3">
        <v>4236</v>
      </c>
      <c r="F283" s="7">
        <v>21180</v>
      </c>
      <c r="G283" s="7">
        <v>238</v>
      </c>
      <c r="H283" t="str">
        <f t="shared" si="4"/>
        <v>During</v>
      </c>
    </row>
    <row r="284" spans="2:8" x14ac:dyDescent="0.3">
      <c r="B284" s="7" t="s">
        <v>510</v>
      </c>
      <c r="C284" s="30" t="s">
        <v>565</v>
      </c>
      <c r="E284" s="3">
        <v>4516</v>
      </c>
      <c r="F284" s="7">
        <v>49676</v>
      </c>
      <c r="G284" s="7">
        <v>282</v>
      </c>
      <c r="H284" t="str">
        <f t="shared" si="4"/>
        <v>During</v>
      </c>
    </row>
    <row r="285" spans="2:8" x14ac:dyDescent="0.3">
      <c r="B285" s="7" t="s">
        <v>390</v>
      </c>
      <c r="C285" s="30" t="s">
        <v>563</v>
      </c>
      <c r="E285" s="3">
        <v>4905</v>
      </c>
      <c r="F285" s="7">
        <v>98100</v>
      </c>
      <c r="G285" s="7">
        <v>279</v>
      </c>
      <c r="H285" t="str">
        <f t="shared" si="4"/>
        <v>During</v>
      </c>
    </row>
    <row r="286" spans="2:8" x14ac:dyDescent="0.3">
      <c r="B286" s="7" t="s">
        <v>378</v>
      </c>
      <c r="C286" s="30" t="s">
        <v>565</v>
      </c>
      <c r="E286" s="3">
        <v>4275</v>
      </c>
      <c r="F286" s="7">
        <v>64125</v>
      </c>
      <c r="G286" s="7">
        <v>104</v>
      </c>
      <c r="H286" t="str">
        <f t="shared" si="4"/>
        <v>During</v>
      </c>
    </row>
    <row r="287" spans="2:8" x14ac:dyDescent="0.3">
      <c r="B287" s="7" t="s">
        <v>511</v>
      </c>
      <c r="C287" s="30" t="s">
        <v>563</v>
      </c>
      <c r="E287" s="3">
        <v>3166</v>
      </c>
      <c r="F287" s="7">
        <v>56988</v>
      </c>
      <c r="G287" s="7">
        <v>135</v>
      </c>
      <c r="H287" t="str">
        <f t="shared" si="4"/>
        <v>During</v>
      </c>
    </row>
    <row r="288" spans="2:8" x14ac:dyDescent="0.3">
      <c r="B288" s="7" t="s">
        <v>512</v>
      </c>
      <c r="C288" s="30" t="s">
        <v>564</v>
      </c>
      <c r="E288" s="3">
        <v>1488</v>
      </c>
      <c r="F288" s="7">
        <v>19344</v>
      </c>
      <c r="G288" s="7">
        <v>30</v>
      </c>
      <c r="H288" t="str">
        <f t="shared" si="4"/>
        <v>During</v>
      </c>
    </row>
    <row r="289" spans="2:8" x14ac:dyDescent="0.3">
      <c r="B289" s="7" t="s">
        <v>513</v>
      </c>
      <c r="C289" s="30" t="s">
        <v>563</v>
      </c>
      <c r="E289" s="3">
        <v>3367</v>
      </c>
      <c r="F289" s="7">
        <v>63973</v>
      </c>
      <c r="G289" s="7">
        <v>157</v>
      </c>
      <c r="H289" t="str">
        <f t="shared" si="4"/>
        <v>During</v>
      </c>
    </row>
    <row r="290" spans="2:8" x14ac:dyDescent="0.3">
      <c r="B290" s="7" t="s">
        <v>350</v>
      </c>
      <c r="C290" s="30" t="s">
        <v>565</v>
      </c>
      <c r="E290" s="3">
        <v>571</v>
      </c>
      <c r="F290" s="7">
        <v>9707</v>
      </c>
      <c r="G290" s="7">
        <v>231</v>
      </c>
      <c r="H290" t="str">
        <f t="shared" si="4"/>
        <v>During</v>
      </c>
    </row>
    <row r="291" spans="2:8" x14ac:dyDescent="0.3">
      <c r="B291" s="7" t="s">
        <v>479</v>
      </c>
      <c r="C291" s="30"/>
      <c r="E291" s="3">
        <v>4021</v>
      </c>
      <c r="F291" s="7">
        <v>36189</v>
      </c>
      <c r="G291" s="7">
        <v>174</v>
      </c>
      <c r="H291" t="str">
        <f t="shared" si="4"/>
        <v>During</v>
      </c>
    </row>
    <row r="292" spans="2:8" x14ac:dyDescent="0.3">
      <c r="B292" s="7" t="s">
        <v>514</v>
      </c>
      <c r="C292" s="30" t="s">
        <v>564</v>
      </c>
      <c r="E292" s="3">
        <v>3389</v>
      </c>
      <c r="F292" s="7">
        <v>20334</v>
      </c>
      <c r="G292" s="7">
        <v>228</v>
      </c>
      <c r="H292" t="str">
        <f t="shared" si="4"/>
        <v>During</v>
      </c>
    </row>
    <row r="293" spans="2:8" x14ac:dyDescent="0.3">
      <c r="B293" s="7" t="s">
        <v>470</v>
      </c>
      <c r="C293" s="30" t="s">
        <v>562</v>
      </c>
      <c r="E293" s="3">
        <v>1164</v>
      </c>
      <c r="F293" s="7">
        <v>6984</v>
      </c>
      <c r="G293" s="7">
        <v>82</v>
      </c>
      <c r="H293" t="str">
        <f t="shared" si="4"/>
        <v>During</v>
      </c>
    </row>
    <row r="294" spans="2:8" x14ac:dyDescent="0.3">
      <c r="B294" s="7" t="s">
        <v>515</v>
      </c>
      <c r="C294" s="30" t="s">
        <v>564</v>
      </c>
      <c r="E294" s="3">
        <v>4780</v>
      </c>
      <c r="F294" s="7">
        <v>86040</v>
      </c>
      <c r="G294" s="7">
        <v>262</v>
      </c>
      <c r="H294" t="str">
        <f t="shared" si="4"/>
        <v>During</v>
      </c>
    </row>
    <row r="295" spans="2:8" x14ac:dyDescent="0.3">
      <c r="B295" s="7" t="s">
        <v>435</v>
      </c>
      <c r="C295" s="30"/>
      <c r="E295" s="3">
        <v>2751</v>
      </c>
      <c r="F295" s="7">
        <v>44016</v>
      </c>
      <c r="G295" s="7">
        <v>129</v>
      </c>
      <c r="H295" t="str">
        <f t="shared" si="4"/>
        <v>During</v>
      </c>
    </row>
    <row r="296" spans="2:8" x14ac:dyDescent="0.3">
      <c r="B296" s="7" t="s">
        <v>516</v>
      </c>
      <c r="C296" s="30" t="s">
        <v>565</v>
      </c>
      <c r="E296" s="3">
        <v>2107</v>
      </c>
      <c r="F296" s="7">
        <v>35819</v>
      </c>
      <c r="G296" s="7">
        <v>191</v>
      </c>
      <c r="H296" t="str">
        <f t="shared" si="4"/>
        <v>During</v>
      </c>
    </row>
    <row r="297" spans="2:8" x14ac:dyDescent="0.3">
      <c r="B297" s="7" t="s">
        <v>346</v>
      </c>
      <c r="C297" s="30" t="s">
        <v>565</v>
      </c>
      <c r="E297" s="3">
        <v>4663</v>
      </c>
      <c r="F297" s="7">
        <v>69945</v>
      </c>
      <c r="G297" s="7">
        <v>35</v>
      </c>
      <c r="H297" t="str">
        <f t="shared" si="4"/>
        <v>During</v>
      </c>
    </row>
    <row r="298" spans="2:8" x14ac:dyDescent="0.3">
      <c r="B298" s="7" t="s">
        <v>517</v>
      </c>
      <c r="C298" s="30"/>
      <c r="E298" s="3">
        <v>880</v>
      </c>
      <c r="F298" s="7">
        <v>12320</v>
      </c>
      <c r="G298" s="7">
        <v>238</v>
      </c>
      <c r="H298" t="str">
        <f t="shared" si="4"/>
        <v>During</v>
      </c>
    </row>
    <row r="299" spans="2:8" x14ac:dyDescent="0.3">
      <c r="B299" s="7" t="s">
        <v>518</v>
      </c>
      <c r="C299" s="30" t="s">
        <v>562</v>
      </c>
      <c r="E299" s="3">
        <v>2634</v>
      </c>
      <c r="F299" s="7">
        <v>28974</v>
      </c>
      <c r="G299" s="7">
        <v>277</v>
      </c>
      <c r="H299" t="str">
        <f t="shared" si="4"/>
        <v>During</v>
      </c>
    </row>
    <row r="300" spans="2:8" x14ac:dyDescent="0.3">
      <c r="B300" s="7" t="s">
        <v>519</v>
      </c>
      <c r="C300" s="30" t="s">
        <v>564</v>
      </c>
      <c r="E300" s="3">
        <v>4731</v>
      </c>
      <c r="F300" s="7">
        <v>28386</v>
      </c>
      <c r="G300" s="7">
        <v>89</v>
      </c>
      <c r="H300" t="str">
        <f t="shared" si="4"/>
        <v>During</v>
      </c>
    </row>
    <row r="301" spans="2:8" x14ac:dyDescent="0.3">
      <c r="B301" s="7" t="s">
        <v>481</v>
      </c>
      <c r="C301" s="30" t="s">
        <v>563</v>
      </c>
      <c r="E301" s="3">
        <v>1952</v>
      </c>
      <c r="F301" s="7">
        <v>15616</v>
      </c>
      <c r="G301" s="7">
        <v>235</v>
      </c>
      <c r="H301" t="str">
        <f t="shared" si="4"/>
        <v>During</v>
      </c>
    </row>
    <row r="302" spans="2:8" x14ac:dyDescent="0.3">
      <c r="B302" s="7" t="s">
        <v>520</v>
      </c>
      <c r="C302" s="30" t="s">
        <v>565</v>
      </c>
      <c r="E302" s="3">
        <v>3440</v>
      </c>
      <c r="F302" s="7">
        <v>58480</v>
      </c>
      <c r="G302" s="7">
        <v>210</v>
      </c>
      <c r="H302" t="str">
        <f t="shared" si="4"/>
        <v>During</v>
      </c>
    </row>
    <row r="303" spans="2:8" x14ac:dyDescent="0.3">
      <c r="B303" s="7" t="s">
        <v>521</v>
      </c>
      <c r="C303" s="30" t="s">
        <v>565</v>
      </c>
      <c r="E303" s="3">
        <v>2166</v>
      </c>
      <c r="F303" s="7">
        <v>10830</v>
      </c>
      <c r="G303" s="7">
        <v>24</v>
      </c>
      <c r="H303" t="str">
        <f t="shared" si="4"/>
        <v>During</v>
      </c>
    </row>
    <row r="304" spans="2:8" x14ac:dyDescent="0.3">
      <c r="B304" s="7" t="s">
        <v>337</v>
      </c>
      <c r="C304" s="30" t="s">
        <v>564</v>
      </c>
      <c r="E304" s="3">
        <v>4303</v>
      </c>
      <c r="F304" s="7">
        <v>86060</v>
      </c>
      <c r="G304" s="7">
        <v>14</v>
      </c>
      <c r="H304" t="str">
        <f t="shared" si="4"/>
        <v>During</v>
      </c>
    </row>
    <row r="305" spans="2:8" x14ac:dyDescent="0.3">
      <c r="B305" s="7" t="s">
        <v>339</v>
      </c>
      <c r="C305" s="30" t="s">
        <v>564</v>
      </c>
      <c r="E305" s="3">
        <v>2581</v>
      </c>
      <c r="F305" s="7">
        <v>23229</v>
      </c>
      <c r="G305" s="7">
        <v>70</v>
      </c>
      <c r="H305" t="str">
        <f t="shared" si="4"/>
        <v>During</v>
      </c>
    </row>
    <row r="306" spans="2:8" x14ac:dyDescent="0.3">
      <c r="B306" s="7" t="s">
        <v>439</v>
      </c>
      <c r="C306" s="30" t="s">
        <v>562</v>
      </c>
      <c r="E306" s="3">
        <v>4494</v>
      </c>
      <c r="F306" s="7">
        <v>62916</v>
      </c>
      <c r="G306" s="7">
        <v>191</v>
      </c>
      <c r="H306" t="str">
        <f t="shared" si="4"/>
        <v>During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98929-4D98-41FA-BBB2-1F8A80805D26}">
  <sheetPr filterMode="1"/>
  <dimension ref="A2:J305"/>
  <sheetViews>
    <sheetView workbookViewId="0">
      <selection activeCell="G13" sqref="G13"/>
    </sheetView>
  </sheetViews>
  <sheetFormatPr defaultRowHeight="14.4" x14ac:dyDescent="0.3"/>
  <cols>
    <col min="1" max="1" width="17.21875" customWidth="1"/>
    <col min="2" max="2" width="10.44140625" customWidth="1"/>
    <col min="3" max="3" width="10.109375" customWidth="1"/>
    <col min="4" max="4" width="10.44140625" customWidth="1"/>
    <col min="5" max="5" width="19.109375" customWidth="1"/>
    <col min="6" max="6" width="17.33203125" customWidth="1"/>
    <col min="9" max="9" width="14.77734375" bestFit="1" customWidth="1"/>
    <col min="10" max="10" width="12" bestFit="1" customWidth="1"/>
  </cols>
  <sheetData>
    <row r="2" spans="1:10" ht="18" x14ac:dyDescent="0.35">
      <c r="C2" s="1" t="s">
        <v>600</v>
      </c>
    </row>
    <row r="5" spans="1:10" x14ac:dyDescent="0.3">
      <c r="A5" s="8" t="s">
        <v>561</v>
      </c>
      <c r="B5" s="2" t="s">
        <v>304</v>
      </c>
      <c r="C5" s="2" t="s">
        <v>305</v>
      </c>
      <c r="D5" s="4" t="s">
        <v>306</v>
      </c>
      <c r="E5" s="8" t="s">
        <v>545</v>
      </c>
      <c r="F5" s="8" t="s">
        <v>588</v>
      </c>
      <c r="G5" s="33" t="s">
        <v>589</v>
      </c>
    </row>
    <row r="6" spans="1:10" x14ac:dyDescent="0.3">
      <c r="A6" s="30" t="s">
        <v>562</v>
      </c>
      <c r="B6" s="3">
        <v>1461</v>
      </c>
      <c r="C6" s="3">
        <v>184</v>
      </c>
      <c r="D6" s="3">
        <v>344</v>
      </c>
      <c r="E6" s="30">
        <v>8.06</v>
      </c>
      <c r="F6" cm="1">
        <f t="array" ref="F6:F305">IF(A6:A305="SummerSplash",150000,IF(A6:A305="FestiveRadiance",200000,IF(A6:A305="NewYearRefresh",250000,IF(A6:A305="DailyWellness",180000))))</f>
        <v>150000</v>
      </c>
      <c r="G6">
        <f>(B6+C6+D6)/F6</f>
        <v>1.3259999999999999E-2</v>
      </c>
    </row>
    <row r="7" spans="1:10" x14ac:dyDescent="0.3">
      <c r="A7" s="30" t="s">
        <v>563</v>
      </c>
      <c r="B7" s="3">
        <v>4054</v>
      </c>
      <c r="C7" s="3">
        <v>389</v>
      </c>
      <c r="D7" s="3">
        <v>493</v>
      </c>
      <c r="E7" s="30">
        <v>4.9800000000000004</v>
      </c>
      <c r="F7">
        <v>200000</v>
      </c>
      <c r="G7">
        <f t="shared" ref="G7:G18" si="0">(B7+C7+D7)/F7</f>
        <v>2.4680000000000001E-2</v>
      </c>
    </row>
    <row r="8" spans="1:10" x14ac:dyDescent="0.3">
      <c r="A8" s="30" t="s">
        <v>564</v>
      </c>
      <c r="B8" s="3">
        <v>2795</v>
      </c>
      <c r="C8" s="3">
        <v>105</v>
      </c>
      <c r="D8" s="3">
        <v>49</v>
      </c>
      <c r="E8" s="30">
        <v>8.31</v>
      </c>
      <c r="F8">
        <v>250000</v>
      </c>
      <c r="G8">
        <f t="shared" si="0"/>
        <v>1.1795999999999999E-2</v>
      </c>
      <c r="I8" s="11" t="s">
        <v>533</v>
      </c>
      <c r="J8" t="s">
        <v>590</v>
      </c>
    </row>
    <row r="9" spans="1:10" x14ac:dyDescent="0.3">
      <c r="A9" s="30" t="s">
        <v>565</v>
      </c>
      <c r="B9" s="3">
        <v>2404</v>
      </c>
      <c r="C9" s="3">
        <v>363</v>
      </c>
      <c r="D9" s="3">
        <v>138</v>
      </c>
      <c r="E9" s="30">
        <v>4.1100000000000003</v>
      </c>
      <c r="F9">
        <v>180000</v>
      </c>
      <c r="G9">
        <f t="shared" si="0"/>
        <v>1.613888888888889E-2</v>
      </c>
      <c r="I9" s="34" t="s">
        <v>565</v>
      </c>
      <c r="J9" s="35">
        <v>1.3360166666666664</v>
      </c>
    </row>
    <row r="10" spans="1:10" x14ac:dyDescent="0.3">
      <c r="A10" s="30" t="s">
        <v>562</v>
      </c>
      <c r="B10" s="3">
        <v>3557</v>
      </c>
      <c r="C10" s="3">
        <v>687</v>
      </c>
      <c r="D10" s="3">
        <v>424</v>
      </c>
      <c r="E10" s="30">
        <v>9.0500000000000007</v>
      </c>
      <c r="F10">
        <v>150000</v>
      </c>
      <c r="G10">
        <f t="shared" si="0"/>
        <v>3.1119999999999998E-2</v>
      </c>
      <c r="I10" s="12" t="s">
        <v>563</v>
      </c>
      <c r="J10">
        <v>1.0086949999999999</v>
      </c>
    </row>
    <row r="11" spans="1:10" x14ac:dyDescent="0.3">
      <c r="A11" s="30" t="s">
        <v>563</v>
      </c>
      <c r="B11" s="3">
        <v>2945</v>
      </c>
      <c r="C11" s="3">
        <v>930</v>
      </c>
      <c r="D11" s="3">
        <v>355</v>
      </c>
      <c r="E11" s="30">
        <v>2.37</v>
      </c>
      <c r="F11">
        <v>200000</v>
      </c>
      <c r="G11">
        <f t="shared" si="0"/>
        <v>2.1149999999999999E-2</v>
      </c>
      <c r="I11" s="12" t="s">
        <v>564</v>
      </c>
      <c r="J11">
        <v>0.93128399999999978</v>
      </c>
    </row>
    <row r="12" spans="1:10" x14ac:dyDescent="0.3">
      <c r="A12" s="30" t="s">
        <v>563</v>
      </c>
      <c r="B12" s="3">
        <v>3860</v>
      </c>
      <c r="C12" s="3">
        <v>201</v>
      </c>
      <c r="D12" s="3">
        <v>279</v>
      </c>
      <c r="E12" s="30">
        <v>4.01</v>
      </c>
      <c r="F12">
        <v>200000</v>
      </c>
      <c r="G12">
        <f t="shared" si="0"/>
        <v>2.1700000000000001E-2</v>
      </c>
      <c r="I12" s="12" t="s">
        <v>562</v>
      </c>
      <c r="J12">
        <v>1.1593399999999998</v>
      </c>
    </row>
    <row r="13" spans="1:10" x14ac:dyDescent="0.3">
      <c r="A13" s="30" t="s">
        <v>565</v>
      </c>
      <c r="B13" s="3">
        <v>3929</v>
      </c>
      <c r="C13" s="3">
        <v>262</v>
      </c>
      <c r="D13" s="3">
        <v>278</v>
      </c>
      <c r="E13" s="30">
        <v>3.16</v>
      </c>
      <c r="F13">
        <v>180000</v>
      </c>
      <c r="G13">
        <f t="shared" si="0"/>
        <v>2.4827777777777778E-2</v>
      </c>
      <c r="I13" s="12" t="s">
        <v>532</v>
      </c>
      <c r="J13">
        <v>4.4353356666666652</v>
      </c>
    </row>
    <row r="14" spans="1:10" x14ac:dyDescent="0.3">
      <c r="A14" s="30" t="s">
        <v>563</v>
      </c>
      <c r="B14" s="3">
        <v>3784</v>
      </c>
      <c r="C14" s="3">
        <v>808</v>
      </c>
      <c r="D14" s="3">
        <v>404</v>
      </c>
      <c r="E14" s="30">
        <v>2.46</v>
      </c>
      <c r="F14">
        <v>200000</v>
      </c>
      <c r="G14">
        <f t="shared" si="0"/>
        <v>2.4979999999999999E-2</v>
      </c>
    </row>
    <row r="15" spans="1:10" x14ac:dyDescent="0.3">
      <c r="A15" s="30" t="s">
        <v>563</v>
      </c>
      <c r="B15" s="3">
        <v>4241</v>
      </c>
      <c r="C15" s="3">
        <v>902</v>
      </c>
      <c r="D15" s="3">
        <v>47</v>
      </c>
      <c r="E15" s="30">
        <v>8.11</v>
      </c>
      <c r="F15">
        <v>200000</v>
      </c>
      <c r="G15">
        <f t="shared" si="0"/>
        <v>2.5950000000000001E-2</v>
      </c>
    </row>
    <row r="16" spans="1:10" x14ac:dyDescent="0.3">
      <c r="A16" s="30" t="s">
        <v>565</v>
      </c>
      <c r="B16" s="3">
        <v>1792</v>
      </c>
      <c r="C16" s="3">
        <v>614</v>
      </c>
      <c r="D16" s="3">
        <v>497</v>
      </c>
      <c r="E16" s="30">
        <v>8.19</v>
      </c>
      <c r="F16">
        <v>180000</v>
      </c>
      <c r="G16">
        <f t="shared" si="0"/>
        <v>1.6127777777777779E-2</v>
      </c>
    </row>
    <row r="17" spans="1:7" x14ac:dyDescent="0.3">
      <c r="A17" s="30" t="s">
        <v>564</v>
      </c>
      <c r="B17" s="3">
        <v>1946</v>
      </c>
      <c r="C17" s="3">
        <v>686</v>
      </c>
      <c r="D17" s="3">
        <v>377</v>
      </c>
      <c r="E17" s="30">
        <v>3.49</v>
      </c>
      <c r="F17">
        <v>250000</v>
      </c>
      <c r="G17">
        <f t="shared" si="0"/>
        <v>1.2036E-2</v>
      </c>
    </row>
    <row r="18" spans="1:7" x14ac:dyDescent="0.3">
      <c r="A18" s="30" t="s">
        <v>562</v>
      </c>
      <c r="B18" s="3">
        <v>1171</v>
      </c>
      <c r="C18" s="3">
        <v>286</v>
      </c>
      <c r="D18" s="3">
        <v>231</v>
      </c>
      <c r="E18" s="30">
        <v>6.92</v>
      </c>
      <c r="F18">
        <v>150000</v>
      </c>
      <c r="G18">
        <f t="shared" si="0"/>
        <v>1.1253333333333334E-2</v>
      </c>
    </row>
    <row r="19" spans="1:7" hidden="1" x14ac:dyDescent="0.3">
      <c r="A19" s="30"/>
      <c r="B19" s="3">
        <v>4242</v>
      </c>
      <c r="C19" s="3">
        <v>555</v>
      </c>
      <c r="D19" s="3">
        <v>131</v>
      </c>
      <c r="E19" s="30">
        <v>9.1199999999999992</v>
      </c>
      <c r="F19" t="b">
        <v>0</v>
      </c>
    </row>
    <row r="20" spans="1:7" x14ac:dyDescent="0.3">
      <c r="A20" s="30" t="s">
        <v>562</v>
      </c>
      <c r="B20" s="3">
        <v>3888</v>
      </c>
      <c r="C20" s="3">
        <v>604</v>
      </c>
      <c r="D20" s="3">
        <v>128</v>
      </c>
      <c r="E20" s="30">
        <v>3.5</v>
      </c>
      <c r="F20">
        <v>150000</v>
      </c>
      <c r="G20">
        <f t="shared" ref="G20:G29" si="1">(B20+C20+D20)/F20</f>
        <v>3.0800000000000001E-2</v>
      </c>
    </row>
    <row r="21" spans="1:7" x14ac:dyDescent="0.3">
      <c r="A21" s="30" t="s">
        <v>564</v>
      </c>
      <c r="B21" s="3">
        <v>3452</v>
      </c>
      <c r="C21" s="3">
        <v>377</v>
      </c>
      <c r="D21" s="3">
        <v>360</v>
      </c>
      <c r="E21" s="30">
        <v>2.62</v>
      </c>
      <c r="F21">
        <v>250000</v>
      </c>
      <c r="G21">
        <f t="shared" si="1"/>
        <v>1.6756E-2</v>
      </c>
    </row>
    <row r="22" spans="1:7" x14ac:dyDescent="0.3">
      <c r="A22" s="30" t="s">
        <v>565</v>
      </c>
      <c r="B22" s="3">
        <v>4441</v>
      </c>
      <c r="C22" s="3">
        <v>511</v>
      </c>
      <c r="D22" s="3">
        <v>70</v>
      </c>
      <c r="E22" s="30">
        <v>9.36</v>
      </c>
      <c r="F22">
        <v>180000</v>
      </c>
      <c r="G22">
        <f t="shared" si="1"/>
        <v>2.7900000000000001E-2</v>
      </c>
    </row>
    <row r="23" spans="1:7" x14ac:dyDescent="0.3">
      <c r="A23" s="30" t="s">
        <v>562</v>
      </c>
      <c r="B23" s="3">
        <v>3000</v>
      </c>
      <c r="C23" s="3">
        <v>382</v>
      </c>
      <c r="D23" s="3">
        <v>325</v>
      </c>
      <c r="E23" s="30">
        <v>4.4800000000000004</v>
      </c>
      <c r="F23">
        <v>150000</v>
      </c>
      <c r="G23">
        <f t="shared" si="1"/>
        <v>2.4713333333333334E-2</v>
      </c>
    </row>
    <row r="24" spans="1:7" x14ac:dyDescent="0.3">
      <c r="A24" s="30" t="s">
        <v>565</v>
      </c>
      <c r="B24" s="3">
        <v>1071</v>
      </c>
      <c r="C24" s="3">
        <v>519</v>
      </c>
      <c r="D24" s="3">
        <v>22</v>
      </c>
      <c r="E24" s="30">
        <v>6.19</v>
      </c>
      <c r="F24">
        <v>180000</v>
      </c>
      <c r="G24">
        <f t="shared" si="1"/>
        <v>8.9555555555555551E-3</v>
      </c>
    </row>
    <row r="25" spans="1:7" x14ac:dyDescent="0.3">
      <c r="A25" s="30" t="s">
        <v>562</v>
      </c>
      <c r="B25" s="3">
        <v>4054</v>
      </c>
      <c r="C25" s="3">
        <v>488</v>
      </c>
      <c r="D25" s="3">
        <v>373</v>
      </c>
      <c r="E25" s="30">
        <v>8.7200000000000006</v>
      </c>
      <c r="F25">
        <v>150000</v>
      </c>
      <c r="G25">
        <f t="shared" si="1"/>
        <v>3.2766666666666666E-2</v>
      </c>
    </row>
    <row r="26" spans="1:7" x14ac:dyDescent="0.3">
      <c r="A26" s="30" t="s">
        <v>565</v>
      </c>
      <c r="B26" s="3">
        <v>4838</v>
      </c>
      <c r="C26" s="3">
        <v>640</v>
      </c>
      <c r="D26" s="3">
        <v>128</v>
      </c>
      <c r="E26" s="30">
        <v>8.74</v>
      </c>
      <c r="F26">
        <v>180000</v>
      </c>
      <c r="G26">
        <f t="shared" si="1"/>
        <v>3.1144444444444443E-2</v>
      </c>
    </row>
    <row r="27" spans="1:7" x14ac:dyDescent="0.3">
      <c r="A27" s="30" t="s">
        <v>565</v>
      </c>
      <c r="B27" s="3">
        <v>1570</v>
      </c>
      <c r="C27" s="3">
        <v>187</v>
      </c>
      <c r="D27" s="3">
        <v>260</v>
      </c>
      <c r="E27" s="30">
        <v>1.91</v>
      </c>
      <c r="F27">
        <v>180000</v>
      </c>
      <c r="G27">
        <f t="shared" si="1"/>
        <v>1.1205555555555555E-2</v>
      </c>
    </row>
    <row r="28" spans="1:7" x14ac:dyDescent="0.3">
      <c r="A28" s="30" t="s">
        <v>563</v>
      </c>
      <c r="B28" s="3">
        <v>1606</v>
      </c>
      <c r="C28" s="3">
        <v>547</v>
      </c>
      <c r="D28" s="3">
        <v>316</v>
      </c>
      <c r="E28" s="30">
        <v>4.66</v>
      </c>
      <c r="F28">
        <v>200000</v>
      </c>
      <c r="G28">
        <f t="shared" si="1"/>
        <v>1.2345E-2</v>
      </c>
    </row>
    <row r="29" spans="1:7" x14ac:dyDescent="0.3">
      <c r="A29" s="30" t="s">
        <v>564</v>
      </c>
      <c r="B29" s="3">
        <v>3961</v>
      </c>
      <c r="C29" s="3">
        <v>761</v>
      </c>
      <c r="D29" s="3">
        <v>131</v>
      </c>
      <c r="E29" s="30">
        <v>2.88</v>
      </c>
      <c r="F29">
        <v>250000</v>
      </c>
      <c r="G29">
        <f t="shared" si="1"/>
        <v>1.9411999999999999E-2</v>
      </c>
    </row>
    <row r="30" spans="1:7" hidden="1" x14ac:dyDescent="0.3">
      <c r="A30" s="30"/>
      <c r="B30" s="3">
        <v>3128</v>
      </c>
      <c r="C30" s="3">
        <v>211</v>
      </c>
      <c r="D30" s="3">
        <v>197</v>
      </c>
      <c r="E30" s="30">
        <v>3.74</v>
      </c>
      <c r="F30" t="b">
        <v>0</v>
      </c>
    </row>
    <row r="31" spans="1:7" x14ac:dyDescent="0.3">
      <c r="A31" s="30" t="s">
        <v>563</v>
      </c>
      <c r="B31" s="3">
        <v>3009</v>
      </c>
      <c r="C31" s="3">
        <v>413</v>
      </c>
      <c r="D31" s="3">
        <v>358</v>
      </c>
      <c r="E31" s="30">
        <v>6.44</v>
      </c>
      <c r="F31">
        <v>200000</v>
      </c>
      <c r="G31">
        <f t="shared" ref="G31:G34" si="2">(B31+C31+D31)/F31</f>
        <v>1.89E-2</v>
      </c>
    </row>
    <row r="32" spans="1:7" x14ac:dyDescent="0.3">
      <c r="A32" s="30" t="s">
        <v>565</v>
      </c>
      <c r="B32" s="3">
        <v>2076</v>
      </c>
      <c r="C32" s="3">
        <v>195</v>
      </c>
      <c r="D32" s="3">
        <v>104</v>
      </c>
      <c r="E32" s="30">
        <v>8.56</v>
      </c>
      <c r="F32">
        <v>180000</v>
      </c>
      <c r="G32">
        <f t="shared" si="2"/>
        <v>1.3194444444444444E-2</v>
      </c>
    </row>
    <row r="33" spans="1:7" x14ac:dyDescent="0.3">
      <c r="A33" s="30" t="s">
        <v>565</v>
      </c>
      <c r="B33" s="3">
        <v>432</v>
      </c>
      <c r="C33" s="3">
        <v>624</v>
      </c>
      <c r="D33" s="3">
        <v>123</v>
      </c>
      <c r="E33" s="30">
        <v>4.5599999999999996</v>
      </c>
      <c r="F33">
        <v>180000</v>
      </c>
      <c r="G33">
        <f t="shared" si="2"/>
        <v>6.5500000000000003E-3</v>
      </c>
    </row>
    <row r="34" spans="1:7" x14ac:dyDescent="0.3">
      <c r="A34" s="30" t="s">
        <v>564</v>
      </c>
      <c r="B34" s="3">
        <v>2566</v>
      </c>
      <c r="C34" s="3">
        <v>118</v>
      </c>
      <c r="D34" s="3">
        <v>37</v>
      </c>
      <c r="E34" s="30">
        <v>7.88</v>
      </c>
      <c r="F34">
        <v>250000</v>
      </c>
      <c r="G34">
        <f t="shared" si="2"/>
        <v>1.0884E-2</v>
      </c>
    </row>
    <row r="35" spans="1:7" hidden="1" x14ac:dyDescent="0.3">
      <c r="A35" s="30"/>
      <c r="B35" s="3">
        <v>3095</v>
      </c>
      <c r="C35" s="3">
        <v>39</v>
      </c>
      <c r="D35" s="3">
        <v>78</v>
      </c>
      <c r="E35" s="30">
        <v>7.86</v>
      </c>
      <c r="F35" t="b">
        <v>0</v>
      </c>
    </row>
    <row r="36" spans="1:7" x14ac:dyDescent="0.3">
      <c r="A36" s="30" t="s">
        <v>563</v>
      </c>
      <c r="B36" s="3">
        <v>438</v>
      </c>
      <c r="C36" s="3">
        <v>153</v>
      </c>
      <c r="D36" s="3">
        <v>275</v>
      </c>
      <c r="E36" s="30">
        <v>5.34</v>
      </c>
      <c r="F36">
        <v>200000</v>
      </c>
      <c r="G36">
        <f t="shared" ref="G36:G43" si="3">(B36+C36+D36)/F36</f>
        <v>4.3299999999999996E-3</v>
      </c>
    </row>
    <row r="37" spans="1:7" x14ac:dyDescent="0.3">
      <c r="A37" s="30" t="s">
        <v>562</v>
      </c>
      <c r="B37" s="3">
        <v>2278</v>
      </c>
      <c r="C37" s="3">
        <v>10</v>
      </c>
      <c r="D37" s="3">
        <v>321</v>
      </c>
      <c r="E37" s="30">
        <v>5.52</v>
      </c>
      <c r="F37">
        <v>150000</v>
      </c>
      <c r="G37">
        <f t="shared" si="3"/>
        <v>1.7393333333333334E-2</v>
      </c>
    </row>
    <row r="38" spans="1:7" x14ac:dyDescent="0.3">
      <c r="A38" s="30" t="s">
        <v>562</v>
      </c>
      <c r="B38" s="3">
        <v>1407</v>
      </c>
      <c r="C38" s="3">
        <v>400</v>
      </c>
      <c r="D38" s="3">
        <v>351</v>
      </c>
      <c r="E38" s="30">
        <v>4.05</v>
      </c>
      <c r="F38">
        <v>150000</v>
      </c>
      <c r="G38">
        <f t="shared" si="3"/>
        <v>1.4386666666666667E-2</v>
      </c>
    </row>
    <row r="39" spans="1:7" x14ac:dyDescent="0.3">
      <c r="A39" s="30" t="s">
        <v>564</v>
      </c>
      <c r="B39" s="3">
        <v>1652</v>
      </c>
      <c r="C39" s="3">
        <v>89</v>
      </c>
      <c r="D39" s="3">
        <v>357</v>
      </c>
      <c r="E39" s="30">
        <v>7.73</v>
      </c>
      <c r="F39">
        <v>250000</v>
      </c>
      <c r="G39">
        <f t="shared" si="3"/>
        <v>8.3920000000000002E-3</v>
      </c>
    </row>
    <row r="40" spans="1:7" x14ac:dyDescent="0.3">
      <c r="A40" s="30" t="s">
        <v>563</v>
      </c>
      <c r="B40" s="3">
        <v>3775</v>
      </c>
      <c r="C40" s="3">
        <v>16</v>
      </c>
      <c r="D40" s="3">
        <v>239</v>
      </c>
      <c r="E40" s="30">
        <v>4.3600000000000003</v>
      </c>
      <c r="F40">
        <v>200000</v>
      </c>
      <c r="G40">
        <f t="shared" si="3"/>
        <v>2.0150000000000001E-2</v>
      </c>
    </row>
    <row r="41" spans="1:7" x14ac:dyDescent="0.3">
      <c r="A41" s="30" t="s">
        <v>563</v>
      </c>
      <c r="B41" s="3">
        <v>4518</v>
      </c>
      <c r="C41" s="3">
        <v>285</v>
      </c>
      <c r="D41" s="3">
        <v>383</v>
      </c>
      <c r="E41" s="30">
        <v>3.48</v>
      </c>
      <c r="F41">
        <v>200000</v>
      </c>
      <c r="G41">
        <f t="shared" si="3"/>
        <v>2.5930000000000002E-2</v>
      </c>
    </row>
    <row r="42" spans="1:7" x14ac:dyDescent="0.3">
      <c r="A42" s="30" t="s">
        <v>563</v>
      </c>
      <c r="B42" s="3">
        <v>3024</v>
      </c>
      <c r="C42" s="3">
        <v>925</v>
      </c>
      <c r="D42" s="3">
        <v>350</v>
      </c>
      <c r="E42" s="30">
        <v>7.83</v>
      </c>
      <c r="F42">
        <v>200000</v>
      </c>
      <c r="G42">
        <f t="shared" si="3"/>
        <v>2.1495E-2</v>
      </c>
    </row>
    <row r="43" spans="1:7" x14ac:dyDescent="0.3">
      <c r="A43" s="30" t="s">
        <v>565</v>
      </c>
      <c r="B43" s="3">
        <v>3138</v>
      </c>
      <c r="C43" s="3">
        <v>123</v>
      </c>
      <c r="D43" s="3">
        <v>291</v>
      </c>
      <c r="E43" s="30">
        <v>6.11</v>
      </c>
      <c r="F43">
        <v>180000</v>
      </c>
      <c r="G43">
        <f t="shared" si="3"/>
        <v>1.9733333333333332E-2</v>
      </c>
    </row>
    <row r="44" spans="1:7" hidden="1" x14ac:dyDescent="0.3">
      <c r="A44" s="30"/>
      <c r="B44" s="3">
        <v>3564</v>
      </c>
      <c r="C44" s="3">
        <v>629</v>
      </c>
      <c r="D44" s="3">
        <v>177</v>
      </c>
      <c r="E44" s="30">
        <v>9.43</v>
      </c>
      <c r="F44" t="b">
        <v>0</v>
      </c>
    </row>
    <row r="45" spans="1:7" x14ac:dyDescent="0.3">
      <c r="A45" s="30" t="s">
        <v>565</v>
      </c>
      <c r="B45" s="3">
        <v>4750</v>
      </c>
      <c r="C45" s="3">
        <v>151</v>
      </c>
      <c r="D45" s="3">
        <v>415</v>
      </c>
      <c r="E45" s="30">
        <v>4.04</v>
      </c>
      <c r="F45">
        <v>180000</v>
      </c>
      <c r="G45">
        <f t="shared" ref="G45:G46" si="4">(B45+C45+D45)/F45</f>
        <v>2.9533333333333335E-2</v>
      </c>
    </row>
    <row r="46" spans="1:7" x14ac:dyDescent="0.3">
      <c r="A46" s="30" t="s">
        <v>565</v>
      </c>
      <c r="B46" s="3">
        <v>456</v>
      </c>
      <c r="C46" s="3">
        <v>629</v>
      </c>
      <c r="D46" s="3">
        <v>428</v>
      </c>
      <c r="E46" s="30">
        <v>6.23</v>
      </c>
      <c r="F46">
        <v>180000</v>
      </c>
      <c r="G46">
        <f t="shared" si="4"/>
        <v>8.405555555555555E-3</v>
      </c>
    </row>
    <row r="47" spans="1:7" hidden="1" x14ac:dyDescent="0.3">
      <c r="A47" s="30"/>
      <c r="B47" s="3">
        <v>1543</v>
      </c>
      <c r="C47" s="3">
        <v>820</v>
      </c>
      <c r="D47" s="3">
        <v>333</v>
      </c>
      <c r="E47" s="30">
        <v>6.01</v>
      </c>
      <c r="F47" t="b">
        <v>0</v>
      </c>
    </row>
    <row r="48" spans="1:7" x14ac:dyDescent="0.3">
      <c r="A48" s="30" t="s">
        <v>564</v>
      </c>
      <c r="B48" s="3">
        <v>2174</v>
      </c>
      <c r="C48" s="3">
        <v>658</v>
      </c>
      <c r="D48" s="3">
        <v>15</v>
      </c>
      <c r="E48" s="30">
        <v>8.5500000000000007</v>
      </c>
      <c r="F48">
        <v>250000</v>
      </c>
      <c r="G48">
        <f>(B48+C48+D48)/F48</f>
        <v>1.1388000000000001E-2</v>
      </c>
    </row>
    <row r="49" spans="1:7" hidden="1" x14ac:dyDescent="0.3">
      <c r="A49" s="30"/>
      <c r="B49" s="3">
        <v>2358</v>
      </c>
      <c r="C49" s="3">
        <v>784</v>
      </c>
      <c r="D49" s="3">
        <v>344</v>
      </c>
      <c r="E49" s="30">
        <v>5.42</v>
      </c>
      <c r="F49" t="b">
        <v>0</v>
      </c>
    </row>
    <row r="50" spans="1:7" x14ac:dyDescent="0.3">
      <c r="A50" s="30" t="s">
        <v>562</v>
      </c>
      <c r="B50" s="3">
        <v>3371</v>
      </c>
      <c r="C50" s="3">
        <v>106</v>
      </c>
      <c r="D50" s="3">
        <v>327</v>
      </c>
      <c r="E50" s="30">
        <v>3.25</v>
      </c>
      <c r="F50">
        <v>150000</v>
      </c>
      <c r="G50">
        <f t="shared" ref="G50:G51" si="5">(B50+C50+D50)/F50</f>
        <v>2.5360000000000001E-2</v>
      </c>
    </row>
    <row r="51" spans="1:7" x14ac:dyDescent="0.3">
      <c r="A51" s="30" t="s">
        <v>565</v>
      </c>
      <c r="B51" s="3">
        <v>1108</v>
      </c>
      <c r="C51" s="3">
        <v>177</v>
      </c>
      <c r="D51" s="3">
        <v>212</v>
      </c>
      <c r="E51" s="30">
        <v>8.84</v>
      </c>
      <c r="F51">
        <v>180000</v>
      </c>
      <c r="G51">
        <f t="shared" si="5"/>
        <v>8.3166666666666667E-3</v>
      </c>
    </row>
    <row r="52" spans="1:7" hidden="1" x14ac:dyDescent="0.3">
      <c r="A52" s="30"/>
      <c r="B52" s="3">
        <v>2704</v>
      </c>
      <c r="C52" s="3">
        <v>752</v>
      </c>
      <c r="D52" s="3">
        <v>153</v>
      </c>
      <c r="E52" s="30">
        <v>7.24</v>
      </c>
      <c r="F52" t="b">
        <v>0</v>
      </c>
    </row>
    <row r="53" spans="1:7" hidden="1" x14ac:dyDescent="0.3">
      <c r="A53" s="30"/>
      <c r="B53" s="3">
        <v>1950</v>
      </c>
      <c r="C53" s="3">
        <v>295</v>
      </c>
      <c r="D53" s="3">
        <v>478</v>
      </c>
      <c r="E53" s="30">
        <v>6.19</v>
      </c>
      <c r="F53" t="b">
        <v>0</v>
      </c>
    </row>
    <row r="54" spans="1:7" x14ac:dyDescent="0.3">
      <c r="A54" s="30" t="s">
        <v>565</v>
      </c>
      <c r="B54" s="3">
        <v>2164</v>
      </c>
      <c r="C54" s="3">
        <v>549</v>
      </c>
      <c r="D54" s="3">
        <v>274</v>
      </c>
      <c r="E54" s="30">
        <v>5.71</v>
      </c>
      <c r="F54">
        <v>180000</v>
      </c>
      <c r="G54">
        <f t="shared" ref="G54:G57" si="6">(B54+C54+D54)/F54</f>
        <v>1.6594444444444443E-2</v>
      </c>
    </row>
    <row r="55" spans="1:7" x14ac:dyDescent="0.3">
      <c r="A55" s="30" t="s">
        <v>564</v>
      </c>
      <c r="B55" s="3">
        <v>2754</v>
      </c>
      <c r="C55" s="3">
        <v>130</v>
      </c>
      <c r="D55" s="3">
        <v>90</v>
      </c>
      <c r="E55" s="30">
        <v>9.0399999999999991</v>
      </c>
      <c r="F55">
        <v>250000</v>
      </c>
      <c r="G55">
        <f t="shared" si="6"/>
        <v>1.1896E-2</v>
      </c>
    </row>
    <row r="56" spans="1:7" x14ac:dyDescent="0.3">
      <c r="A56" s="30" t="s">
        <v>563</v>
      </c>
      <c r="B56" s="3">
        <v>2200</v>
      </c>
      <c r="C56" s="3">
        <v>504</v>
      </c>
      <c r="D56" s="3">
        <v>239</v>
      </c>
      <c r="E56" s="30">
        <v>3.91</v>
      </c>
      <c r="F56">
        <v>200000</v>
      </c>
      <c r="G56">
        <f t="shared" si="6"/>
        <v>1.4715000000000001E-2</v>
      </c>
    </row>
    <row r="57" spans="1:7" x14ac:dyDescent="0.3">
      <c r="A57" s="30" t="s">
        <v>565</v>
      </c>
      <c r="B57" s="3">
        <v>947</v>
      </c>
      <c r="C57" s="3">
        <v>338</v>
      </c>
      <c r="D57" s="3">
        <v>350</v>
      </c>
      <c r="E57" s="30">
        <v>7.83</v>
      </c>
      <c r="F57">
        <v>180000</v>
      </c>
      <c r="G57">
        <f t="shared" si="6"/>
        <v>9.0833333333333339E-3</v>
      </c>
    </row>
    <row r="58" spans="1:7" hidden="1" x14ac:dyDescent="0.3">
      <c r="A58" s="30"/>
      <c r="B58" s="3">
        <v>804</v>
      </c>
      <c r="C58" s="3">
        <v>639</v>
      </c>
      <c r="D58" s="3">
        <v>43</v>
      </c>
      <c r="E58" s="30">
        <v>7.16</v>
      </c>
      <c r="F58" t="b">
        <v>0</v>
      </c>
    </row>
    <row r="59" spans="1:7" x14ac:dyDescent="0.3">
      <c r="A59" s="30" t="s">
        <v>563</v>
      </c>
      <c r="B59" s="3">
        <v>1686</v>
      </c>
      <c r="C59" s="3">
        <v>904</v>
      </c>
      <c r="D59" s="3">
        <v>472</v>
      </c>
      <c r="E59" s="30">
        <v>6.41</v>
      </c>
      <c r="F59">
        <v>200000</v>
      </c>
      <c r="G59">
        <f t="shared" ref="G59:G63" si="7">(B59+C59+D59)/F59</f>
        <v>1.5310000000000001E-2</v>
      </c>
    </row>
    <row r="60" spans="1:7" x14ac:dyDescent="0.3">
      <c r="A60" s="30" t="s">
        <v>565</v>
      </c>
      <c r="B60" s="3">
        <v>1226</v>
      </c>
      <c r="C60" s="3">
        <v>119</v>
      </c>
      <c r="D60" s="3">
        <v>7</v>
      </c>
      <c r="E60" s="30">
        <v>8.02</v>
      </c>
      <c r="F60">
        <v>180000</v>
      </c>
      <c r="G60">
        <f t="shared" si="7"/>
        <v>7.5111111111111108E-3</v>
      </c>
    </row>
    <row r="61" spans="1:7" x14ac:dyDescent="0.3">
      <c r="A61" s="30" t="s">
        <v>564</v>
      </c>
      <c r="B61" s="3">
        <v>2946</v>
      </c>
      <c r="C61" s="3">
        <v>498</v>
      </c>
      <c r="D61" s="3">
        <v>367</v>
      </c>
      <c r="E61" s="30">
        <v>3.86</v>
      </c>
      <c r="F61">
        <v>250000</v>
      </c>
      <c r="G61">
        <f t="shared" si="7"/>
        <v>1.5244000000000001E-2</v>
      </c>
    </row>
    <row r="62" spans="1:7" x14ac:dyDescent="0.3">
      <c r="A62" s="30" t="s">
        <v>562</v>
      </c>
      <c r="B62" s="3">
        <v>2825</v>
      </c>
      <c r="C62" s="3">
        <v>535</v>
      </c>
      <c r="D62" s="3">
        <v>295</v>
      </c>
      <c r="E62" s="30">
        <v>9.09</v>
      </c>
      <c r="F62">
        <v>150000</v>
      </c>
      <c r="G62">
        <f t="shared" si="7"/>
        <v>2.4366666666666665E-2</v>
      </c>
    </row>
    <row r="63" spans="1:7" x14ac:dyDescent="0.3">
      <c r="A63" s="30" t="s">
        <v>565</v>
      </c>
      <c r="B63" s="3">
        <v>103</v>
      </c>
      <c r="C63" s="3">
        <v>770</v>
      </c>
      <c r="D63" s="3">
        <v>19</v>
      </c>
      <c r="E63" s="30">
        <v>1.76</v>
      </c>
      <c r="F63">
        <v>180000</v>
      </c>
      <c r="G63">
        <f t="shared" si="7"/>
        <v>4.9555555555555559E-3</v>
      </c>
    </row>
    <row r="64" spans="1:7" hidden="1" x14ac:dyDescent="0.3">
      <c r="A64" s="30"/>
      <c r="B64" s="3">
        <v>2180</v>
      </c>
      <c r="C64" s="3">
        <v>263</v>
      </c>
      <c r="D64" s="3">
        <v>387</v>
      </c>
      <c r="E64" s="30">
        <v>9.24</v>
      </c>
      <c r="F64" t="b">
        <v>0</v>
      </c>
    </row>
    <row r="65" spans="1:7" x14ac:dyDescent="0.3">
      <c r="A65" s="30" t="s">
        <v>564</v>
      </c>
      <c r="B65" s="3">
        <v>904</v>
      </c>
      <c r="C65" s="3">
        <v>973</v>
      </c>
      <c r="D65" s="3">
        <v>63</v>
      </c>
      <c r="E65" s="30">
        <v>8.99</v>
      </c>
      <c r="F65">
        <v>250000</v>
      </c>
      <c r="G65">
        <f t="shared" ref="G65:G69" si="8">(B65+C65+D65)/F65</f>
        <v>7.7600000000000004E-3</v>
      </c>
    </row>
    <row r="66" spans="1:7" x14ac:dyDescent="0.3">
      <c r="A66" s="30" t="s">
        <v>562</v>
      </c>
      <c r="B66" s="3">
        <v>4886</v>
      </c>
      <c r="C66" s="3">
        <v>983</v>
      </c>
      <c r="D66" s="3">
        <v>409</v>
      </c>
      <c r="E66" s="30">
        <v>3.4</v>
      </c>
      <c r="F66">
        <v>150000</v>
      </c>
      <c r="G66">
        <f t="shared" si="8"/>
        <v>4.1853333333333333E-2</v>
      </c>
    </row>
    <row r="67" spans="1:7" x14ac:dyDescent="0.3">
      <c r="A67" s="30" t="s">
        <v>564</v>
      </c>
      <c r="B67" s="3">
        <v>53</v>
      </c>
      <c r="C67" s="3">
        <v>81</v>
      </c>
      <c r="D67" s="3">
        <v>379</v>
      </c>
      <c r="E67" s="30">
        <v>9.1999999999999993</v>
      </c>
      <c r="F67">
        <v>250000</v>
      </c>
      <c r="G67">
        <f t="shared" si="8"/>
        <v>2.052E-3</v>
      </c>
    </row>
    <row r="68" spans="1:7" x14ac:dyDescent="0.3">
      <c r="A68" s="30" t="s">
        <v>564</v>
      </c>
      <c r="B68" s="3">
        <v>4507</v>
      </c>
      <c r="C68" s="3">
        <v>217</v>
      </c>
      <c r="D68" s="3">
        <v>13</v>
      </c>
      <c r="E68" s="30">
        <v>8.59</v>
      </c>
      <c r="F68">
        <v>250000</v>
      </c>
      <c r="G68">
        <f t="shared" si="8"/>
        <v>1.8948E-2</v>
      </c>
    </row>
    <row r="69" spans="1:7" x14ac:dyDescent="0.3">
      <c r="A69" s="30" t="s">
        <v>564</v>
      </c>
      <c r="B69" s="3">
        <v>2878</v>
      </c>
      <c r="C69" s="3">
        <v>248</v>
      </c>
      <c r="D69" s="3">
        <v>416</v>
      </c>
      <c r="E69" s="30">
        <v>3.5</v>
      </c>
      <c r="F69">
        <v>250000</v>
      </c>
      <c r="G69">
        <f t="shared" si="8"/>
        <v>1.4168E-2</v>
      </c>
    </row>
    <row r="70" spans="1:7" hidden="1" x14ac:dyDescent="0.3">
      <c r="A70" s="30"/>
      <c r="B70" s="3">
        <v>1881</v>
      </c>
      <c r="C70" s="3">
        <v>501</v>
      </c>
      <c r="D70" s="3">
        <v>99</v>
      </c>
      <c r="E70" s="30">
        <v>2.36</v>
      </c>
      <c r="F70" t="b">
        <v>0</v>
      </c>
    </row>
    <row r="71" spans="1:7" x14ac:dyDescent="0.3">
      <c r="A71" s="30" t="s">
        <v>562</v>
      </c>
      <c r="B71" s="3">
        <v>432</v>
      </c>
      <c r="C71" s="3">
        <v>171</v>
      </c>
      <c r="D71" s="3">
        <v>280</v>
      </c>
      <c r="E71" s="30">
        <v>7.36</v>
      </c>
      <c r="F71">
        <v>150000</v>
      </c>
      <c r="G71">
        <f t="shared" ref="G71:G72" si="9">(B71+C71+D71)/F71</f>
        <v>5.8866666666666668E-3</v>
      </c>
    </row>
    <row r="72" spans="1:7" x14ac:dyDescent="0.3">
      <c r="A72" s="30" t="s">
        <v>564</v>
      </c>
      <c r="B72" s="3">
        <v>4712</v>
      </c>
      <c r="C72" s="3">
        <v>568</v>
      </c>
      <c r="D72" s="3">
        <v>127</v>
      </c>
      <c r="E72" s="30">
        <v>8.5500000000000007</v>
      </c>
      <c r="F72">
        <v>250000</v>
      </c>
      <c r="G72">
        <f t="shared" si="9"/>
        <v>2.1628000000000001E-2</v>
      </c>
    </row>
    <row r="73" spans="1:7" hidden="1" x14ac:dyDescent="0.3">
      <c r="A73" s="30"/>
      <c r="B73" s="3">
        <v>2610</v>
      </c>
      <c r="C73" s="3">
        <v>126</v>
      </c>
      <c r="D73" s="3">
        <v>288</v>
      </c>
      <c r="E73" s="30">
        <v>8.1300000000000008</v>
      </c>
      <c r="F73" t="b">
        <v>0</v>
      </c>
    </row>
    <row r="74" spans="1:7" x14ac:dyDescent="0.3">
      <c r="A74" s="30" t="s">
        <v>564</v>
      </c>
      <c r="B74" s="3">
        <v>1292</v>
      </c>
      <c r="C74" s="3">
        <v>626</v>
      </c>
      <c r="D74" s="3">
        <v>496</v>
      </c>
      <c r="E74" s="30">
        <v>3.3</v>
      </c>
      <c r="F74">
        <v>250000</v>
      </c>
      <c r="G74">
        <f>(B74+C74+D74)/F74</f>
        <v>9.6559999999999997E-3</v>
      </c>
    </row>
    <row r="75" spans="1:7" hidden="1" x14ac:dyDescent="0.3">
      <c r="A75" s="30"/>
      <c r="B75" s="3">
        <v>199</v>
      </c>
      <c r="C75" s="3">
        <v>772</v>
      </c>
      <c r="D75" s="3">
        <v>400</v>
      </c>
      <c r="E75" s="30">
        <v>1.77</v>
      </c>
      <c r="F75" t="b">
        <v>0</v>
      </c>
    </row>
    <row r="76" spans="1:7" x14ac:dyDescent="0.3">
      <c r="A76" s="30" t="s">
        <v>563</v>
      </c>
      <c r="B76" s="3">
        <v>2551</v>
      </c>
      <c r="C76" s="3">
        <v>915</v>
      </c>
      <c r="D76" s="3">
        <v>205</v>
      </c>
      <c r="E76" s="30">
        <v>2.09</v>
      </c>
      <c r="F76">
        <v>200000</v>
      </c>
      <c r="G76">
        <f t="shared" ref="G76:G81" si="10">(B76+C76+D76)/F76</f>
        <v>1.8355E-2</v>
      </c>
    </row>
    <row r="77" spans="1:7" x14ac:dyDescent="0.3">
      <c r="A77" s="30" t="s">
        <v>563</v>
      </c>
      <c r="B77" s="3">
        <v>296</v>
      </c>
      <c r="C77" s="3">
        <v>60</v>
      </c>
      <c r="D77" s="3">
        <v>141</v>
      </c>
      <c r="E77" s="30">
        <v>7.36</v>
      </c>
      <c r="F77">
        <v>200000</v>
      </c>
      <c r="G77">
        <f t="shared" si="10"/>
        <v>2.4849999999999998E-3</v>
      </c>
    </row>
    <row r="78" spans="1:7" x14ac:dyDescent="0.3">
      <c r="A78" s="30" t="s">
        <v>565</v>
      </c>
      <c r="B78" s="3">
        <v>4126</v>
      </c>
      <c r="C78" s="3">
        <v>426</v>
      </c>
      <c r="D78" s="3">
        <v>486</v>
      </c>
      <c r="E78" s="30">
        <v>6.25</v>
      </c>
      <c r="F78">
        <v>180000</v>
      </c>
      <c r="G78">
        <f t="shared" si="10"/>
        <v>2.798888888888889E-2</v>
      </c>
    </row>
    <row r="79" spans="1:7" x14ac:dyDescent="0.3">
      <c r="A79" s="30" t="s">
        <v>564</v>
      </c>
      <c r="B79" s="3">
        <v>1855</v>
      </c>
      <c r="C79" s="3">
        <v>200</v>
      </c>
      <c r="D79" s="3">
        <v>174</v>
      </c>
      <c r="E79" s="30">
        <v>1.75</v>
      </c>
      <c r="F79">
        <v>250000</v>
      </c>
      <c r="G79">
        <f t="shared" si="10"/>
        <v>8.9160000000000003E-3</v>
      </c>
    </row>
    <row r="80" spans="1:7" x14ac:dyDescent="0.3">
      <c r="A80" s="30" t="s">
        <v>565</v>
      </c>
      <c r="B80" s="3">
        <v>1674</v>
      </c>
      <c r="C80" s="3">
        <v>929</v>
      </c>
      <c r="D80" s="3">
        <v>37</v>
      </c>
      <c r="E80" s="30">
        <v>4.97</v>
      </c>
      <c r="F80">
        <v>180000</v>
      </c>
      <c r="G80">
        <f t="shared" si="10"/>
        <v>1.4666666666666666E-2</v>
      </c>
    </row>
    <row r="81" spans="1:7" x14ac:dyDescent="0.3">
      <c r="A81" s="30" t="s">
        <v>565</v>
      </c>
      <c r="B81" s="3">
        <v>1121</v>
      </c>
      <c r="C81" s="3">
        <v>135</v>
      </c>
      <c r="D81" s="3">
        <v>18</v>
      </c>
      <c r="E81" s="30">
        <v>9.3000000000000007</v>
      </c>
      <c r="F81">
        <v>180000</v>
      </c>
      <c r="G81">
        <f t="shared" si="10"/>
        <v>7.0777777777777775E-3</v>
      </c>
    </row>
    <row r="82" spans="1:7" hidden="1" x14ac:dyDescent="0.3">
      <c r="A82" s="30"/>
      <c r="B82" s="3">
        <v>1249</v>
      </c>
      <c r="C82" s="3">
        <v>116</v>
      </c>
      <c r="D82" s="3">
        <v>420</v>
      </c>
      <c r="E82" s="30">
        <v>8.9</v>
      </c>
      <c r="F82" t="b">
        <v>0</v>
      </c>
    </row>
    <row r="83" spans="1:7" x14ac:dyDescent="0.3">
      <c r="A83" s="30" t="s">
        <v>565</v>
      </c>
      <c r="B83" s="3">
        <v>954</v>
      </c>
      <c r="C83" s="3">
        <v>324</v>
      </c>
      <c r="D83" s="3">
        <v>288</v>
      </c>
      <c r="E83" s="30">
        <v>3.88</v>
      </c>
      <c r="F83">
        <v>180000</v>
      </c>
      <c r="G83">
        <f t="shared" ref="G83:G84" si="11">(B83+C83+D83)/F83</f>
        <v>8.6999999999999994E-3</v>
      </c>
    </row>
    <row r="84" spans="1:7" x14ac:dyDescent="0.3">
      <c r="A84" s="30" t="s">
        <v>563</v>
      </c>
      <c r="B84" s="3">
        <v>3068</v>
      </c>
      <c r="C84" s="3">
        <v>137</v>
      </c>
      <c r="D84" s="3">
        <v>329</v>
      </c>
      <c r="E84" s="30">
        <v>5.9</v>
      </c>
      <c r="F84">
        <v>200000</v>
      </c>
      <c r="G84">
        <f t="shared" si="11"/>
        <v>1.7670000000000002E-2</v>
      </c>
    </row>
    <row r="85" spans="1:7" hidden="1" x14ac:dyDescent="0.3">
      <c r="A85" s="30"/>
      <c r="B85" s="3">
        <v>2103</v>
      </c>
      <c r="C85" s="3">
        <v>892</v>
      </c>
      <c r="D85" s="3">
        <v>103</v>
      </c>
      <c r="E85" s="30">
        <v>1.53</v>
      </c>
      <c r="F85" t="b">
        <v>0</v>
      </c>
    </row>
    <row r="86" spans="1:7" x14ac:dyDescent="0.3">
      <c r="A86" s="30" t="s">
        <v>564</v>
      </c>
      <c r="B86" s="3">
        <v>1816</v>
      </c>
      <c r="C86" s="3">
        <v>29</v>
      </c>
      <c r="D86" s="3">
        <v>41</v>
      </c>
      <c r="E86" s="30">
        <v>6.5</v>
      </c>
      <c r="F86">
        <v>250000</v>
      </c>
      <c r="G86">
        <f t="shared" ref="G86:G87" si="12">(B86+C86+D86)/F86</f>
        <v>7.5440000000000004E-3</v>
      </c>
    </row>
    <row r="87" spans="1:7" x14ac:dyDescent="0.3">
      <c r="A87" s="30" t="s">
        <v>564</v>
      </c>
      <c r="B87" s="3">
        <v>725</v>
      </c>
      <c r="C87" s="3">
        <v>88</v>
      </c>
      <c r="D87" s="3">
        <v>428</v>
      </c>
      <c r="E87" s="30">
        <v>3.16</v>
      </c>
      <c r="F87">
        <v>250000</v>
      </c>
      <c r="G87">
        <f t="shared" si="12"/>
        <v>4.9639999999999997E-3</v>
      </c>
    </row>
    <row r="88" spans="1:7" hidden="1" x14ac:dyDescent="0.3">
      <c r="A88" s="30"/>
      <c r="B88" s="3">
        <v>1094</v>
      </c>
      <c r="C88" s="3">
        <v>472</v>
      </c>
      <c r="D88" s="3">
        <v>21</v>
      </c>
      <c r="E88" s="30">
        <v>8.25</v>
      </c>
      <c r="F88" t="b">
        <v>0</v>
      </c>
    </row>
    <row r="89" spans="1:7" x14ac:dyDescent="0.3">
      <c r="A89" s="30" t="s">
        <v>565</v>
      </c>
      <c r="B89" s="3">
        <v>1841</v>
      </c>
      <c r="C89" s="3">
        <v>851</v>
      </c>
      <c r="D89" s="3">
        <v>342</v>
      </c>
      <c r="E89" s="30">
        <v>5.41</v>
      </c>
      <c r="F89">
        <v>180000</v>
      </c>
      <c r="G89">
        <f t="shared" ref="G89:G93" si="13">(B89+C89+D89)/F89</f>
        <v>1.6855555555555554E-2</v>
      </c>
    </row>
    <row r="90" spans="1:7" x14ac:dyDescent="0.3">
      <c r="A90" s="30" t="s">
        <v>562</v>
      </c>
      <c r="B90" s="3">
        <v>4177</v>
      </c>
      <c r="C90" s="3">
        <v>569</v>
      </c>
      <c r="D90" s="3">
        <v>55</v>
      </c>
      <c r="E90" s="30">
        <v>5.85</v>
      </c>
      <c r="F90">
        <v>150000</v>
      </c>
      <c r="G90">
        <f t="shared" si="13"/>
        <v>3.2006666666666669E-2</v>
      </c>
    </row>
    <row r="91" spans="1:7" x14ac:dyDescent="0.3">
      <c r="A91" s="30" t="s">
        <v>565</v>
      </c>
      <c r="B91" s="3">
        <v>3428</v>
      </c>
      <c r="C91" s="3">
        <v>305</v>
      </c>
      <c r="D91" s="3">
        <v>85</v>
      </c>
      <c r="E91" s="30">
        <v>4.46</v>
      </c>
      <c r="F91">
        <v>180000</v>
      </c>
      <c r="G91">
        <f t="shared" si="13"/>
        <v>2.1211111111111111E-2</v>
      </c>
    </row>
    <row r="92" spans="1:7" x14ac:dyDescent="0.3">
      <c r="A92" s="30" t="s">
        <v>564</v>
      </c>
      <c r="B92" s="3">
        <v>1436</v>
      </c>
      <c r="C92" s="3">
        <v>765</v>
      </c>
      <c r="D92" s="3">
        <v>496</v>
      </c>
      <c r="E92" s="30">
        <v>5.22</v>
      </c>
      <c r="F92">
        <v>250000</v>
      </c>
      <c r="G92">
        <f t="shared" si="13"/>
        <v>1.0788000000000001E-2</v>
      </c>
    </row>
    <row r="93" spans="1:7" x14ac:dyDescent="0.3">
      <c r="A93" s="30" t="s">
        <v>565</v>
      </c>
      <c r="B93" s="3">
        <v>302</v>
      </c>
      <c r="C93" s="3">
        <v>47</v>
      </c>
      <c r="D93" s="3">
        <v>430</v>
      </c>
      <c r="E93" s="30">
        <v>1.99</v>
      </c>
      <c r="F93">
        <v>180000</v>
      </c>
      <c r="G93">
        <f t="shared" si="13"/>
        <v>4.3277777777777776E-3</v>
      </c>
    </row>
    <row r="94" spans="1:7" hidden="1" x14ac:dyDescent="0.3">
      <c r="A94" s="30"/>
      <c r="B94" s="3">
        <v>2214</v>
      </c>
      <c r="C94" s="3">
        <v>249</v>
      </c>
      <c r="D94" s="3">
        <v>152</v>
      </c>
      <c r="E94" s="30">
        <v>6.85</v>
      </c>
      <c r="F94" t="b">
        <v>0</v>
      </c>
    </row>
    <row r="95" spans="1:7" x14ac:dyDescent="0.3">
      <c r="A95" s="30" t="s">
        <v>565</v>
      </c>
      <c r="B95" s="3">
        <v>3861</v>
      </c>
      <c r="C95" s="3">
        <v>960</v>
      </c>
      <c r="D95" s="3">
        <v>101</v>
      </c>
      <c r="E95" s="30">
        <v>3.32</v>
      </c>
      <c r="F95">
        <v>180000</v>
      </c>
      <c r="G95">
        <f t="shared" ref="G95:G100" si="14">(B95+C95+D95)/F95</f>
        <v>2.7344444444444446E-2</v>
      </c>
    </row>
    <row r="96" spans="1:7" x14ac:dyDescent="0.3">
      <c r="A96" s="30" t="s">
        <v>565</v>
      </c>
      <c r="B96" s="3">
        <v>1263</v>
      </c>
      <c r="C96" s="3">
        <v>397</v>
      </c>
      <c r="D96" s="3">
        <v>357</v>
      </c>
      <c r="E96" s="30">
        <v>5.68</v>
      </c>
      <c r="F96">
        <v>180000</v>
      </c>
      <c r="G96">
        <f t="shared" si="14"/>
        <v>1.1205555555555555E-2</v>
      </c>
    </row>
    <row r="97" spans="1:7" x14ac:dyDescent="0.3">
      <c r="A97" s="30" t="s">
        <v>564</v>
      </c>
      <c r="B97" s="3">
        <v>3801</v>
      </c>
      <c r="C97" s="3">
        <v>967</v>
      </c>
      <c r="D97" s="3">
        <v>401</v>
      </c>
      <c r="E97" s="30">
        <v>6.08</v>
      </c>
      <c r="F97">
        <v>250000</v>
      </c>
      <c r="G97">
        <f t="shared" si="14"/>
        <v>2.0676E-2</v>
      </c>
    </row>
    <row r="98" spans="1:7" x14ac:dyDescent="0.3">
      <c r="A98" s="30" t="s">
        <v>564</v>
      </c>
      <c r="B98" s="3">
        <v>1431</v>
      </c>
      <c r="C98" s="3">
        <v>951</v>
      </c>
      <c r="D98" s="3">
        <v>26</v>
      </c>
      <c r="E98" s="30">
        <v>4.66</v>
      </c>
      <c r="F98">
        <v>250000</v>
      </c>
      <c r="G98">
        <f t="shared" si="14"/>
        <v>9.6319999999999999E-3</v>
      </c>
    </row>
    <row r="99" spans="1:7" x14ac:dyDescent="0.3">
      <c r="A99" s="30" t="s">
        <v>564</v>
      </c>
      <c r="B99" s="3">
        <v>2647</v>
      </c>
      <c r="C99" s="3">
        <v>304</v>
      </c>
      <c r="D99" s="3">
        <v>170</v>
      </c>
      <c r="E99" s="30">
        <v>8.6999999999999993</v>
      </c>
      <c r="F99">
        <v>250000</v>
      </c>
      <c r="G99">
        <f t="shared" si="14"/>
        <v>1.2484E-2</v>
      </c>
    </row>
    <row r="100" spans="1:7" x14ac:dyDescent="0.3">
      <c r="A100" s="30" t="s">
        <v>565</v>
      </c>
      <c r="B100" s="3">
        <v>3182</v>
      </c>
      <c r="C100" s="3">
        <v>559</v>
      </c>
      <c r="D100" s="3">
        <v>160</v>
      </c>
      <c r="E100" s="30">
        <v>2.46</v>
      </c>
      <c r="F100">
        <v>180000</v>
      </c>
      <c r="G100">
        <f t="shared" si="14"/>
        <v>2.1672222222222221E-2</v>
      </c>
    </row>
    <row r="101" spans="1:7" hidden="1" x14ac:dyDescent="0.3">
      <c r="A101" s="30"/>
      <c r="B101" s="3">
        <v>1238</v>
      </c>
      <c r="C101" s="3">
        <v>366</v>
      </c>
      <c r="D101" s="3">
        <v>444</v>
      </c>
      <c r="E101" s="30">
        <v>7.97</v>
      </c>
      <c r="F101" t="b">
        <v>0</v>
      </c>
    </row>
    <row r="102" spans="1:7" x14ac:dyDescent="0.3">
      <c r="A102" s="30" t="s">
        <v>563</v>
      </c>
      <c r="B102" s="3">
        <v>4739</v>
      </c>
      <c r="C102" s="3">
        <v>527</v>
      </c>
      <c r="D102" s="3">
        <v>135</v>
      </c>
      <c r="E102" s="30">
        <v>9.41</v>
      </c>
      <c r="F102">
        <v>200000</v>
      </c>
      <c r="G102">
        <f t="shared" ref="G102:G104" si="15">(B102+C102+D102)/F102</f>
        <v>2.7005000000000001E-2</v>
      </c>
    </row>
    <row r="103" spans="1:7" x14ac:dyDescent="0.3">
      <c r="A103" s="30" t="s">
        <v>565</v>
      </c>
      <c r="B103" s="3">
        <v>1575</v>
      </c>
      <c r="C103" s="3">
        <v>771</v>
      </c>
      <c r="D103" s="3">
        <v>486</v>
      </c>
      <c r="E103" s="30">
        <v>2.68</v>
      </c>
      <c r="F103">
        <v>180000</v>
      </c>
      <c r="G103">
        <f t="shared" si="15"/>
        <v>1.5733333333333332E-2</v>
      </c>
    </row>
    <row r="104" spans="1:7" x14ac:dyDescent="0.3">
      <c r="A104" s="30" t="s">
        <v>564</v>
      </c>
      <c r="B104" s="3">
        <v>4171</v>
      </c>
      <c r="C104" s="3">
        <v>548</v>
      </c>
      <c r="D104" s="3">
        <v>86</v>
      </c>
      <c r="E104" s="30">
        <v>7.32</v>
      </c>
      <c r="F104">
        <v>250000</v>
      </c>
      <c r="G104">
        <f t="shared" si="15"/>
        <v>1.9220000000000001E-2</v>
      </c>
    </row>
    <row r="105" spans="1:7" hidden="1" x14ac:dyDescent="0.3">
      <c r="A105" s="30"/>
      <c r="B105" s="3">
        <v>1766</v>
      </c>
      <c r="C105" s="3">
        <v>92</v>
      </c>
      <c r="D105" s="3">
        <v>424</v>
      </c>
      <c r="E105" s="30">
        <v>4.68</v>
      </c>
      <c r="F105" t="b">
        <v>0</v>
      </c>
    </row>
    <row r="106" spans="1:7" x14ac:dyDescent="0.3">
      <c r="A106" s="30" t="s">
        <v>564</v>
      </c>
      <c r="B106" s="3">
        <v>4450</v>
      </c>
      <c r="C106" s="3">
        <v>983</v>
      </c>
      <c r="D106" s="3">
        <v>143</v>
      </c>
      <c r="E106" s="30">
        <v>5.17</v>
      </c>
      <c r="F106">
        <v>250000</v>
      </c>
      <c r="G106">
        <f t="shared" ref="G106:G111" si="16">(B106+C106+D106)/F106</f>
        <v>2.2304000000000001E-2</v>
      </c>
    </row>
    <row r="107" spans="1:7" x14ac:dyDescent="0.3">
      <c r="A107" s="30" t="s">
        <v>563</v>
      </c>
      <c r="B107" s="3">
        <v>1000</v>
      </c>
      <c r="C107" s="3">
        <v>978</v>
      </c>
      <c r="D107" s="3">
        <v>162</v>
      </c>
      <c r="E107" s="30">
        <v>6.2</v>
      </c>
      <c r="F107">
        <v>200000</v>
      </c>
      <c r="G107">
        <f t="shared" si="16"/>
        <v>1.0699999999999999E-2</v>
      </c>
    </row>
    <row r="108" spans="1:7" x14ac:dyDescent="0.3">
      <c r="A108" s="30" t="s">
        <v>563</v>
      </c>
      <c r="B108" s="3">
        <v>3689</v>
      </c>
      <c r="C108" s="3">
        <v>48</v>
      </c>
      <c r="D108" s="3">
        <v>306</v>
      </c>
      <c r="E108" s="30">
        <v>2.69</v>
      </c>
      <c r="F108">
        <v>200000</v>
      </c>
      <c r="G108">
        <f t="shared" si="16"/>
        <v>2.0215E-2</v>
      </c>
    </row>
    <row r="109" spans="1:7" x14ac:dyDescent="0.3">
      <c r="A109" s="30" t="s">
        <v>564</v>
      </c>
      <c r="B109" s="3">
        <v>3655</v>
      </c>
      <c r="C109" s="3">
        <v>568</v>
      </c>
      <c r="D109" s="3">
        <v>286</v>
      </c>
      <c r="E109" s="30">
        <v>8.9</v>
      </c>
      <c r="F109">
        <v>250000</v>
      </c>
      <c r="G109">
        <f t="shared" si="16"/>
        <v>1.8036E-2</v>
      </c>
    </row>
    <row r="110" spans="1:7" x14ac:dyDescent="0.3">
      <c r="A110" s="30" t="s">
        <v>562</v>
      </c>
      <c r="B110" s="3">
        <v>498</v>
      </c>
      <c r="C110" s="3">
        <v>38</v>
      </c>
      <c r="D110" s="3">
        <v>42</v>
      </c>
      <c r="E110" s="30">
        <v>3.79</v>
      </c>
      <c r="F110">
        <v>150000</v>
      </c>
      <c r="G110">
        <f t="shared" si="16"/>
        <v>3.8533333333333332E-3</v>
      </c>
    </row>
    <row r="111" spans="1:7" x14ac:dyDescent="0.3">
      <c r="A111" s="30" t="s">
        <v>565</v>
      </c>
      <c r="B111" s="3">
        <v>4619</v>
      </c>
      <c r="C111" s="3">
        <v>821</v>
      </c>
      <c r="D111" s="3">
        <v>499</v>
      </c>
      <c r="E111" s="30">
        <v>4.79</v>
      </c>
      <c r="F111">
        <v>180000</v>
      </c>
      <c r="G111">
        <f t="shared" si="16"/>
        <v>3.2994444444444444E-2</v>
      </c>
    </row>
    <row r="112" spans="1:7" hidden="1" x14ac:dyDescent="0.3">
      <c r="A112" s="30"/>
      <c r="B112" s="3">
        <v>4832</v>
      </c>
      <c r="C112" s="3">
        <v>893</v>
      </c>
      <c r="D112" s="3">
        <v>10</v>
      </c>
      <c r="E112" s="30">
        <v>6.37</v>
      </c>
      <c r="F112" t="b">
        <v>0</v>
      </c>
    </row>
    <row r="113" spans="1:7" x14ac:dyDescent="0.3">
      <c r="A113" s="30" t="s">
        <v>563</v>
      </c>
      <c r="B113" s="3">
        <v>4050</v>
      </c>
      <c r="C113" s="3">
        <v>871</v>
      </c>
      <c r="D113" s="3">
        <v>347</v>
      </c>
      <c r="E113" s="30">
        <v>2.65</v>
      </c>
      <c r="F113">
        <v>200000</v>
      </c>
      <c r="G113">
        <f t="shared" ref="G113:G120" si="17">(B113+C113+D113)/F113</f>
        <v>2.6339999999999999E-2</v>
      </c>
    </row>
    <row r="114" spans="1:7" x14ac:dyDescent="0.3">
      <c r="A114" s="30" t="s">
        <v>564</v>
      </c>
      <c r="B114" s="3">
        <v>3649</v>
      </c>
      <c r="C114" s="3">
        <v>215</v>
      </c>
      <c r="D114" s="3">
        <v>413</v>
      </c>
      <c r="E114" s="30">
        <v>1.81</v>
      </c>
      <c r="F114">
        <v>250000</v>
      </c>
      <c r="G114">
        <f t="shared" si="17"/>
        <v>1.7108000000000002E-2</v>
      </c>
    </row>
    <row r="115" spans="1:7" x14ac:dyDescent="0.3">
      <c r="A115" s="30" t="s">
        <v>563</v>
      </c>
      <c r="B115" s="3">
        <v>3523</v>
      </c>
      <c r="C115" s="3">
        <v>753</v>
      </c>
      <c r="D115" s="3">
        <v>482</v>
      </c>
      <c r="E115" s="30">
        <v>7.47</v>
      </c>
      <c r="F115">
        <v>200000</v>
      </c>
      <c r="G115">
        <f t="shared" si="17"/>
        <v>2.3789999999999999E-2</v>
      </c>
    </row>
    <row r="116" spans="1:7" x14ac:dyDescent="0.3">
      <c r="A116" s="30" t="s">
        <v>563</v>
      </c>
      <c r="B116" s="3">
        <v>2719</v>
      </c>
      <c r="C116" s="3">
        <v>17</v>
      </c>
      <c r="D116" s="3">
        <v>285</v>
      </c>
      <c r="E116" s="30">
        <v>4.2</v>
      </c>
      <c r="F116">
        <v>200000</v>
      </c>
      <c r="G116">
        <f t="shared" si="17"/>
        <v>1.5105E-2</v>
      </c>
    </row>
    <row r="117" spans="1:7" x14ac:dyDescent="0.3">
      <c r="A117" s="30" t="s">
        <v>564</v>
      </c>
      <c r="B117" s="3">
        <v>1957</v>
      </c>
      <c r="C117" s="3">
        <v>877</v>
      </c>
      <c r="D117" s="3">
        <v>238</v>
      </c>
      <c r="E117" s="30">
        <v>5.43</v>
      </c>
      <c r="F117">
        <v>250000</v>
      </c>
      <c r="G117">
        <f t="shared" si="17"/>
        <v>1.2288E-2</v>
      </c>
    </row>
    <row r="118" spans="1:7" x14ac:dyDescent="0.3">
      <c r="A118" s="30" t="s">
        <v>562</v>
      </c>
      <c r="B118" s="3">
        <v>4419</v>
      </c>
      <c r="C118" s="3">
        <v>236</v>
      </c>
      <c r="D118" s="3">
        <v>369</v>
      </c>
      <c r="E118" s="30">
        <v>3.32</v>
      </c>
      <c r="F118">
        <v>150000</v>
      </c>
      <c r="G118">
        <f t="shared" si="17"/>
        <v>3.3493333333333333E-2</v>
      </c>
    </row>
    <row r="119" spans="1:7" x14ac:dyDescent="0.3">
      <c r="A119" s="30" t="s">
        <v>562</v>
      </c>
      <c r="B119" s="3">
        <v>4000</v>
      </c>
      <c r="C119" s="3">
        <v>689</v>
      </c>
      <c r="D119" s="3">
        <v>488</v>
      </c>
      <c r="E119" s="30">
        <v>8.11</v>
      </c>
      <c r="F119">
        <v>150000</v>
      </c>
      <c r="G119">
        <f t="shared" si="17"/>
        <v>3.4513333333333333E-2</v>
      </c>
    </row>
    <row r="120" spans="1:7" x14ac:dyDescent="0.3">
      <c r="A120" s="30" t="s">
        <v>565</v>
      </c>
      <c r="B120" s="3">
        <v>2493</v>
      </c>
      <c r="C120" s="3">
        <v>97</v>
      </c>
      <c r="D120" s="3">
        <v>44</v>
      </c>
      <c r="E120" s="30">
        <v>6.66</v>
      </c>
      <c r="F120">
        <v>180000</v>
      </c>
      <c r="G120">
        <f t="shared" si="17"/>
        <v>1.4633333333333333E-2</v>
      </c>
    </row>
    <row r="121" spans="1:7" hidden="1" x14ac:dyDescent="0.3">
      <c r="A121" s="30"/>
      <c r="B121" s="3">
        <v>3704</v>
      </c>
      <c r="C121" s="3">
        <v>186</v>
      </c>
      <c r="D121" s="3">
        <v>458</v>
      </c>
      <c r="E121" s="30">
        <v>8.09</v>
      </c>
      <c r="F121" t="b">
        <v>0</v>
      </c>
    </row>
    <row r="122" spans="1:7" x14ac:dyDescent="0.3">
      <c r="A122" s="30" t="s">
        <v>565</v>
      </c>
      <c r="B122" s="3">
        <v>1606</v>
      </c>
      <c r="C122" s="3">
        <v>451</v>
      </c>
      <c r="D122" s="3">
        <v>405</v>
      </c>
      <c r="E122" s="30">
        <v>8.44</v>
      </c>
      <c r="F122">
        <v>180000</v>
      </c>
      <c r="G122">
        <f t="shared" ref="G122:G123" si="18">(B122+C122+D122)/F122</f>
        <v>1.3677777777777778E-2</v>
      </c>
    </row>
    <row r="123" spans="1:7" x14ac:dyDescent="0.3">
      <c r="A123" s="30" t="s">
        <v>564</v>
      </c>
      <c r="B123" s="3">
        <v>4551</v>
      </c>
      <c r="C123" s="3">
        <v>714</v>
      </c>
      <c r="D123" s="3">
        <v>207</v>
      </c>
      <c r="E123" s="30">
        <v>2.02</v>
      </c>
      <c r="F123">
        <v>250000</v>
      </c>
      <c r="G123">
        <f t="shared" si="18"/>
        <v>2.1888000000000001E-2</v>
      </c>
    </row>
    <row r="124" spans="1:7" hidden="1" x14ac:dyDescent="0.3">
      <c r="A124" s="30"/>
      <c r="B124" s="3">
        <v>1970</v>
      </c>
      <c r="C124" s="3">
        <v>675</v>
      </c>
      <c r="D124" s="3">
        <v>478</v>
      </c>
      <c r="E124" s="30">
        <v>7.74</v>
      </c>
      <c r="F124" t="b">
        <v>0</v>
      </c>
    </row>
    <row r="125" spans="1:7" x14ac:dyDescent="0.3">
      <c r="A125" s="30" t="s">
        <v>564</v>
      </c>
      <c r="B125" s="3">
        <v>780</v>
      </c>
      <c r="C125" s="3">
        <v>928</v>
      </c>
      <c r="D125" s="3">
        <v>301</v>
      </c>
      <c r="E125" s="30">
        <v>2.89</v>
      </c>
      <c r="F125">
        <v>250000</v>
      </c>
      <c r="G125">
        <f>(B125+C125+D125)/F125</f>
        <v>8.0359999999999997E-3</v>
      </c>
    </row>
    <row r="126" spans="1:7" hidden="1" x14ac:dyDescent="0.3">
      <c r="A126" s="30"/>
      <c r="B126" s="3">
        <v>498</v>
      </c>
      <c r="C126" s="3">
        <v>701</v>
      </c>
      <c r="D126" s="3">
        <v>412</v>
      </c>
      <c r="E126" s="30">
        <v>1.76</v>
      </c>
      <c r="F126" t="b">
        <v>0</v>
      </c>
    </row>
    <row r="127" spans="1:7" x14ac:dyDescent="0.3">
      <c r="A127" s="30" t="s">
        <v>563</v>
      </c>
      <c r="B127" s="3">
        <v>3432</v>
      </c>
      <c r="C127" s="3">
        <v>869</v>
      </c>
      <c r="D127" s="3">
        <v>123</v>
      </c>
      <c r="E127" s="30">
        <v>3.09</v>
      </c>
      <c r="F127">
        <v>200000</v>
      </c>
      <c r="G127">
        <f t="shared" ref="G127:G130" si="19">(B127+C127+D127)/F127</f>
        <v>2.2120000000000001E-2</v>
      </c>
    </row>
    <row r="128" spans="1:7" x14ac:dyDescent="0.3">
      <c r="A128" s="30" t="s">
        <v>562</v>
      </c>
      <c r="B128" s="3">
        <v>4363</v>
      </c>
      <c r="C128" s="3">
        <v>649</v>
      </c>
      <c r="D128" s="3">
        <v>140</v>
      </c>
      <c r="E128" s="30">
        <v>4.68</v>
      </c>
      <c r="F128">
        <v>150000</v>
      </c>
      <c r="G128">
        <f t="shared" si="19"/>
        <v>3.4346666666666664E-2</v>
      </c>
    </row>
    <row r="129" spans="1:7" x14ac:dyDescent="0.3">
      <c r="A129" s="30" t="s">
        <v>562</v>
      </c>
      <c r="B129" s="3">
        <v>736</v>
      </c>
      <c r="C129" s="3">
        <v>771</v>
      </c>
      <c r="D129" s="3">
        <v>225</v>
      </c>
      <c r="E129" s="30">
        <v>4.4800000000000004</v>
      </c>
      <c r="F129">
        <v>150000</v>
      </c>
      <c r="G129">
        <f t="shared" si="19"/>
        <v>1.1546666666666667E-2</v>
      </c>
    </row>
    <row r="130" spans="1:7" x14ac:dyDescent="0.3">
      <c r="A130" s="30" t="s">
        <v>565</v>
      </c>
      <c r="B130" s="3">
        <v>3811</v>
      </c>
      <c r="C130" s="3">
        <v>866</v>
      </c>
      <c r="D130" s="3">
        <v>216</v>
      </c>
      <c r="E130" s="30">
        <v>5.3</v>
      </c>
      <c r="F130">
        <v>180000</v>
      </c>
      <c r="G130">
        <f t="shared" si="19"/>
        <v>2.7183333333333334E-2</v>
      </c>
    </row>
    <row r="131" spans="1:7" hidden="1" x14ac:dyDescent="0.3">
      <c r="A131" s="30"/>
      <c r="B131" s="3">
        <v>4158</v>
      </c>
      <c r="C131" s="3">
        <v>167</v>
      </c>
      <c r="D131" s="3">
        <v>241</v>
      </c>
      <c r="E131" s="30">
        <v>8.1999999999999993</v>
      </c>
      <c r="F131" t="b">
        <v>0</v>
      </c>
    </row>
    <row r="132" spans="1:7" x14ac:dyDescent="0.3">
      <c r="A132" s="30" t="s">
        <v>564</v>
      </c>
      <c r="B132" s="3">
        <v>3452</v>
      </c>
      <c r="C132" s="3">
        <v>652</v>
      </c>
      <c r="D132" s="3">
        <v>442</v>
      </c>
      <c r="E132" s="30">
        <v>2.2200000000000002</v>
      </c>
      <c r="F132">
        <v>250000</v>
      </c>
      <c r="G132">
        <f>(B132+C132+D132)/F132</f>
        <v>1.8183999999999999E-2</v>
      </c>
    </row>
    <row r="133" spans="1:7" hidden="1" x14ac:dyDescent="0.3">
      <c r="A133" s="30"/>
      <c r="B133" s="3">
        <v>3092</v>
      </c>
      <c r="C133" s="3">
        <v>106</v>
      </c>
      <c r="D133" s="3">
        <v>291</v>
      </c>
      <c r="E133" s="30">
        <v>8.33</v>
      </c>
      <c r="F133" t="b">
        <v>0</v>
      </c>
    </row>
    <row r="134" spans="1:7" hidden="1" x14ac:dyDescent="0.3">
      <c r="A134" s="30"/>
      <c r="B134" s="3">
        <v>2147</v>
      </c>
      <c r="C134" s="3">
        <v>430</v>
      </c>
      <c r="D134" s="3">
        <v>393</v>
      </c>
      <c r="E134" s="30">
        <v>3.3</v>
      </c>
      <c r="F134" t="b">
        <v>0</v>
      </c>
    </row>
    <row r="135" spans="1:7" x14ac:dyDescent="0.3">
      <c r="A135" s="30" t="s">
        <v>565</v>
      </c>
      <c r="B135" s="3">
        <v>2936</v>
      </c>
      <c r="C135" s="3">
        <v>439</v>
      </c>
      <c r="D135" s="3">
        <v>44</v>
      </c>
      <c r="E135" s="30">
        <v>5.61</v>
      </c>
      <c r="F135">
        <v>180000</v>
      </c>
      <c r="G135">
        <f t="shared" ref="G135:G141" si="20">(B135+C135+D135)/F135</f>
        <v>1.8994444444444446E-2</v>
      </c>
    </row>
    <row r="136" spans="1:7" x14ac:dyDescent="0.3">
      <c r="A136" s="30" t="s">
        <v>564</v>
      </c>
      <c r="B136" s="3">
        <v>4840</v>
      </c>
      <c r="C136" s="3">
        <v>658</v>
      </c>
      <c r="D136" s="3">
        <v>211</v>
      </c>
      <c r="E136" s="30">
        <v>2.56</v>
      </c>
      <c r="F136">
        <v>250000</v>
      </c>
      <c r="G136">
        <f t="shared" si="20"/>
        <v>2.2835999999999999E-2</v>
      </c>
    </row>
    <row r="137" spans="1:7" x14ac:dyDescent="0.3">
      <c r="A137" s="30" t="s">
        <v>563</v>
      </c>
      <c r="B137" s="3">
        <v>1947</v>
      </c>
      <c r="C137" s="3">
        <v>842</v>
      </c>
      <c r="D137" s="3">
        <v>101</v>
      </c>
      <c r="E137" s="30">
        <v>3.29</v>
      </c>
      <c r="F137">
        <v>200000</v>
      </c>
      <c r="G137">
        <f t="shared" si="20"/>
        <v>1.4449999999999999E-2</v>
      </c>
    </row>
    <row r="138" spans="1:7" x14ac:dyDescent="0.3">
      <c r="A138" s="30" t="s">
        <v>565</v>
      </c>
      <c r="B138" s="3">
        <v>2072</v>
      </c>
      <c r="C138" s="3">
        <v>532</v>
      </c>
      <c r="D138" s="3">
        <v>71</v>
      </c>
      <c r="E138" s="30">
        <v>9.24</v>
      </c>
      <c r="F138">
        <v>180000</v>
      </c>
      <c r="G138">
        <f t="shared" si="20"/>
        <v>1.4861111111111111E-2</v>
      </c>
    </row>
    <row r="139" spans="1:7" x14ac:dyDescent="0.3">
      <c r="A139" s="30" t="s">
        <v>562</v>
      </c>
      <c r="B139" s="3">
        <v>3731</v>
      </c>
      <c r="C139" s="3">
        <v>115</v>
      </c>
      <c r="D139" s="3">
        <v>135</v>
      </c>
      <c r="E139" s="30">
        <v>4.51</v>
      </c>
      <c r="F139">
        <v>150000</v>
      </c>
      <c r="G139">
        <f t="shared" si="20"/>
        <v>2.6540000000000001E-2</v>
      </c>
    </row>
    <row r="140" spans="1:7" x14ac:dyDescent="0.3">
      <c r="A140" s="30" t="s">
        <v>565</v>
      </c>
      <c r="B140" s="3">
        <v>4213</v>
      </c>
      <c r="C140" s="3">
        <v>253</v>
      </c>
      <c r="D140" s="3">
        <v>434</v>
      </c>
      <c r="E140" s="30">
        <v>5.23</v>
      </c>
      <c r="F140">
        <v>180000</v>
      </c>
      <c r="G140">
        <f t="shared" si="20"/>
        <v>2.7222222222222221E-2</v>
      </c>
    </row>
    <row r="141" spans="1:7" x14ac:dyDescent="0.3">
      <c r="A141" s="30" t="s">
        <v>565</v>
      </c>
      <c r="B141" s="3">
        <v>3134</v>
      </c>
      <c r="C141" s="3">
        <v>888</v>
      </c>
      <c r="D141" s="3">
        <v>444</v>
      </c>
      <c r="E141" s="30">
        <v>4.68</v>
      </c>
      <c r="F141">
        <v>180000</v>
      </c>
      <c r="G141">
        <f t="shared" si="20"/>
        <v>2.481111111111111E-2</v>
      </c>
    </row>
    <row r="142" spans="1:7" hidden="1" x14ac:dyDescent="0.3">
      <c r="A142" s="30"/>
      <c r="B142" s="3">
        <v>3008</v>
      </c>
      <c r="C142" s="3">
        <v>94</v>
      </c>
      <c r="D142" s="3">
        <v>37</v>
      </c>
      <c r="E142" s="30">
        <v>9.23</v>
      </c>
      <c r="F142" t="b">
        <v>0</v>
      </c>
    </row>
    <row r="143" spans="1:7" x14ac:dyDescent="0.3">
      <c r="A143" s="30" t="s">
        <v>564</v>
      </c>
      <c r="B143" s="3">
        <v>305</v>
      </c>
      <c r="C143" s="3">
        <v>187</v>
      </c>
      <c r="D143" s="3">
        <v>243</v>
      </c>
      <c r="E143" s="30">
        <v>6.37</v>
      </c>
      <c r="F143">
        <v>250000</v>
      </c>
      <c r="G143">
        <f t="shared" ref="G143:G145" si="21">(B143+C143+D143)/F143</f>
        <v>2.9399999999999999E-3</v>
      </c>
    </row>
    <row r="144" spans="1:7" x14ac:dyDescent="0.3">
      <c r="A144" s="30" t="s">
        <v>562</v>
      </c>
      <c r="B144" s="3">
        <v>2746</v>
      </c>
      <c r="C144" s="3">
        <v>156</v>
      </c>
      <c r="D144" s="3">
        <v>203</v>
      </c>
      <c r="E144" s="30">
        <v>2.0099999999999998</v>
      </c>
      <c r="F144">
        <v>150000</v>
      </c>
      <c r="G144">
        <f t="shared" si="21"/>
        <v>2.07E-2</v>
      </c>
    </row>
    <row r="145" spans="1:7" x14ac:dyDescent="0.3">
      <c r="A145" s="30" t="s">
        <v>563</v>
      </c>
      <c r="B145" s="3">
        <v>2291</v>
      </c>
      <c r="C145" s="3">
        <v>78</v>
      </c>
      <c r="D145" s="3">
        <v>485</v>
      </c>
      <c r="E145" s="30">
        <v>3.72</v>
      </c>
      <c r="F145">
        <v>200000</v>
      </c>
      <c r="G145">
        <f t="shared" si="21"/>
        <v>1.427E-2</v>
      </c>
    </row>
    <row r="146" spans="1:7" hidden="1" x14ac:dyDescent="0.3">
      <c r="A146" s="30"/>
      <c r="B146" s="3">
        <v>3170</v>
      </c>
      <c r="C146" s="3">
        <v>857</v>
      </c>
      <c r="D146" s="3">
        <v>379</v>
      </c>
      <c r="E146" s="30">
        <v>3.89</v>
      </c>
      <c r="F146" t="b">
        <v>0</v>
      </c>
    </row>
    <row r="147" spans="1:7" x14ac:dyDescent="0.3">
      <c r="A147" s="30" t="s">
        <v>565</v>
      </c>
      <c r="B147" s="3">
        <v>2070</v>
      </c>
      <c r="C147" s="3">
        <v>275</v>
      </c>
      <c r="D147" s="3">
        <v>386</v>
      </c>
      <c r="E147" s="30">
        <v>8.6999999999999993</v>
      </c>
      <c r="F147">
        <v>180000</v>
      </c>
      <c r="G147">
        <f t="shared" ref="G147:G150" si="22">(B147+C147+D147)/F147</f>
        <v>1.5172222222222222E-2</v>
      </c>
    </row>
    <row r="148" spans="1:7" x14ac:dyDescent="0.3">
      <c r="A148" s="30" t="s">
        <v>564</v>
      </c>
      <c r="B148" s="3">
        <v>80</v>
      </c>
      <c r="C148" s="3">
        <v>362</v>
      </c>
      <c r="D148" s="3">
        <v>80</v>
      </c>
      <c r="E148" s="30">
        <v>6.95</v>
      </c>
      <c r="F148">
        <v>250000</v>
      </c>
      <c r="G148">
        <f t="shared" si="22"/>
        <v>2.088E-3</v>
      </c>
    </row>
    <row r="149" spans="1:7" x14ac:dyDescent="0.3">
      <c r="A149" s="30" t="s">
        <v>565</v>
      </c>
      <c r="B149" s="3">
        <v>4929</v>
      </c>
      <c r="C149" s="3">
        <v>749</v>
      </c>
      <c r="D149" s="3">
        <v>452</v>
      </c>
      <c r="E149" s="30">
        <v>9.48</v>
      </c>
      <c r="F149">
        <v>180000</v>
      </c>
      <c r="G149">
        <f t="shared" si="22"/>
        <v>3.4055555555555554E-2</v>
      </c>
    </row>
    <row r="150" spans="1:7" x14ac:dyDescent="0.3">
      <c r="A150" s="30" t="s">
        <v>565</v>
      </c>
      <c r="B150" s="3">
        <v>1878</v>
      </c>
      <c r="C150" s="3">
        <v>62</v>
      </c>
      <c r="D150" s="3">
        <v>179</v>
      </c>
      <c r="E150" s="30">
        <v>4.6100000000000003</v>
      </c>
      <c r="F150">
        <v>180000</v>
      </c>
      <c r="G150">
        <f t="shared" si="22"/>
        <v>1.1772222222222222E-2</v>
      </c>
    </row>
    <row r="151" spans="1:7" hidden="1" x14ac:dyDescent="0.3">
      <c r="A151" s="30"/>
      <c r="B151" s="3">
        <v>3065</v>
      </c>
      <c r="C151" s="3">
        <v>772</v>
      </c>
      <c r="D151" s="3">
        <v>142</v>
      </c>
      <c r="E151" s="30">
        <v>8.0299999999999994</v>
      </c>
      <c r="F151" t="b">
        <v>0</v>
      </c>
    </row>
    <row r="152" spans="1:7" x14ac:dyDescent="0.3">
      <c r="A152" s="30" t="s">
        <v>563</v>
      </c>
      <c r="B152" s="3">
        <v>3256</v>
      </c>
      <c r="C152" s="3">
        <v>459</v>
      </c>
      <c r="D152" s="3">
        <v>266</v>
      </c>
      <c r="E152" s="30">
        <v>6.99</v>
      </c>
      <c r="F152">
        <v>200000</v>
      </c>
      <c r="G152">
        <f t="shared" ref="G152:G164" si="23">(B152+C152+D152)/F152</f>
        <v>1.9904999999999999E-2</v>
      </c>
    </row>
    <row r="153" spans="1:7" x14ac:dyDescent="0.3">
      <c r="A153" s="30" t="s">
        <v>565</v>
      </c>
      <c r="B153" s="3">
        <v>4133</v>
      </c>
      <c r="C153" s="3">
        <v>466</v>
      </c>
      <c r="D153" s="3">
        <v>327</v>
      </c>
      <c r="E153" s="30">
        <v>9.0299999999999994</v>
      </c>
      <c r="F153">
        <v>180000</v>
      </c>
      <c r="G153">
        <f t="shared" si="23"/>
        <v>2.7366666666666668E-2</v>
      </c>
    </row>
    <row r="154" spans="1:7" x14ac:dyDescent="0.3">
      <c r="A154" s="30" t="s">
        <v>562</v>
      </c>
      <c r="B154" s="3">
        <v>1702</v>
      </c>
      <c r="C154" s="3">
        <v>750</v>
      </c>
      <c r="D154" s="3">
        <v>179</v>
      </c>
      <c r="E154" s="30">
        <v>2.86</v>
      </c>
      <c r="F154">
        <v>150000</v>
      </c>
      <c r="G154">
        <f t="shared" si="23"/>
        <v>1.754E-2</v>
      </c>
    </row>
    <row r="155" spans="1:7" x14ac:dyDescent="0.3">
      <c r="A155" s="30" t="s">
        <v>565</v>
      </c>
      <c r="B155" s="3">
        <v>4295</v>
      </c>
      <c r="C155" s="3">
        <v>853</v>
      </c>
      <c r="D155" s="3">
        <v>325</v>
      </c>
      <c r="E155" s="30">
        <v>3.85</v>
      </c>
      <c r="F155">
        <v>180000</v>
      </c>
      <c r="G155">
        <f t="shared" si="23"/>
        <v>3.0405555555555557E-2</v>
      </c>
    </row>
    <row r="156" spans="1:7" x14ac:dyDescent="0.3">
      <c r="A156" s="30" t="s">
        <v>562</v>
      </c>
      <c r="B156" s="3">
        <v>3559</v>
      </c>
      <c r="C156" s="3">
        <v>59</v>
      </c>
      <c r="D156" s="3">
        <v>289</v>
      </c>
      <c r="E156" s="30">
        <v>7.3</v>
      </c>
      <c r="F156">
        <v>150000</v>
      </c>
      <c r="G156">
        <f t="shared" si="23"/>
        <v>2.6046666666666666E-2</v>
      </c>
    </row>
    <row r="157" spans="1:7" x14ac:dyDescent="0.3">
      <c r="A157" s="30" t="s">
        <v>565</v>
      </c>
      <c r="B157" s="3">
        <v>4804</v>
      </c>
      <c r="C157" s="3">
        <v>550</v>
      </c>
      <c r="D157" s="3">
        <v>270</v>
      </c>
      <c r="E157" s="30">
        <v>9.08</v>
      </c>
      <c r="F157">
        <v>180000</v>
      </c>
      <c r="G157">
        <f t="shared" si="23"/>
        <v>3.1244444444444443E-2</v>
      </c>
    </row>
    <row r="158" spans="1:7" x14ac:dyDescent="0.3">
      <c r="A158" s="30" t="s">
        <v>564</v>
      </c>
      <c r="B158" s="3">
        <v>754</v>
      </c>
      <c r="C158" s="3">
        <v>197</v>
      </c>
      <c r="D158" s="3">
        <v>257</v>
      </c>
      <c r="E158" s="30">
        <v>4.34</v>
      </c>
      <c r="F158">
        <v>250000</v>
      </c>
      <c r="G158">
        <f t="shared" si="23"/>
        <v>4.8320000000000004E-3</v>
      </c>
    </row>
    <row r="159" spans="1:7" x14ac:dyDescent="0.3">
      <c r="A159" s="30" t="s">
        <v>565</v>
      </c>
      <c r="B159" s="3">
        <v>985</v>
      </c>
      <c r="C159" s="3">
        <v>932</v>
      </c>
      <c r="D159" s="3">
        <v>287</v>
      </c>
      <c r="E159" s="30">
        <v>7.8</v>
      </c>
      <c r="F159">
        <v>180000</v>
      </c>
      <c r="G159">
        <f t="shared" si="23"/>
        <v>1.2244444444444445E-2</v>
      </c>
    </row>
    <row r="160" spans="1:7" x14ac:dyDescent="0.3">
      <c r="A160" s="30" t="s">
        <v>563</v>
      </c>
      <c r="B160" s="3">
        <v>2283</v>
      </c>
      <c r="C160" s="3">
        <v>210</v>
      </c>
      <c r="D160" s="3">
        <v>130</v>
      </c>
      <c r="E160" s="30">
        <v>3.85</v>
      </c>
      <c r="F160">
        <v>200000</v>
      </c>
      <c r="G160">
        <f t="shared" si="23"/>
        <v>1.3115E-2</v>
      </c>
    </row>
    <row r="161" spans="1:7" x14ac:dyDescent="0.3">
      <c r="A161" s="30" t="s">
        <v>563</v>
      </c>
      <c r="B161" s="3">
        <v>3352</v>
      </c>
      <c r="C161" s="3">
        <v>941</v>
      </c>
      <c r="D161" s="3">
        <v>482</v>
      </c>
      <c r="E161" s="30">
        <v>6.58</v>
      </c>
      <c r="F161">
        <v>200000</v>
      </c>
      <c r="G161">
        <f t="shared" si="23"/>
        <v>2.3875E-2</v>
      </c>
    </row>
    <row r="162" spans="1:7" x14ac:dyDescent="0.3">
      <c r="A162" s="30" t="s">
        <v>563</v>
      </c>
      <c r="B162" s="3">
        <v>4775</v>
      </c>
      <c r="C162" s="3">
        <v>173</v>
      </c>
      <c r="D162" s="3">
        <v>206</v>
      </c>
      <c r="E162" s="30">
        <v>8.6199999999999992</v>
      </c>
      <c r="F162">
        <v>200000</v>
      </c>
      <c r="G162">
        <f t="shared" si="23"/>
        <v>2.5770000000000001E-2</v>
      </c>
    </row>
    <row r="163" spans="1:7" x14ac:dyDescent="0.3">
      <c r="A163" s="30" t="s">
        <v>562</v>
      </c>
      <c r="B163" s="3">
        <v>1762</v>
      </c>
      <c r="C163" s="3">
        <v>405</v>
      </c>
      <c r="D163" s="3">
        <v>423</v>
      </c>
      <c r="E163" s="30">
        <v>4.55</v>
      </c>
      <c r="F163">
        <v>150000</v>
      </c>
      <c r="G163">
        <f t="shared" si="23"/>
        <v>1.7266666666666666E-2</v>
      </c>
    </row>
    <row r="164" spans="1:7" x14ac:dyDescent="0.3">
      <c r="A164" s="30" t="s">
        <v>563</v>
      </c>
      <c r="B164" s="3">
        <v>2120</v>
      </c>
      <c r="C164" s="3">
        <v>158</v>
      </c>
      <c r="D164" s="3">
        <v>488</v>
      </c>
      <c r="E164" s="30">
        <v>8.33</v>
      </c>
      <c r="F164">
        <v>200000</v>
      </c>
      <c r="G164">
        <f t="shared" si="23"/>
        <v>1.383E-2</v>
      </c>
    </row>
    <row r="165" spans="1:7" hidden="1" x14ac:dyDescent="0.3">
      <c r="A165" s="30"/>
      <c r="B165" s="3">
        <v>1082</v>
      </c>
      <c r="C165" s="3">
        <v>209</v>
      </c>
      <c r="D165" s="3">
        <v>484</v>
      </c>
      <c r="E165" s="30">
        <v>9.4</v>
      </c>
      <c r="F165" t="b">
        <v>0</v>
      </c>
    </row>
    <row r="166" spans="1:7" x14ac:dyDescent="0.3">
      <c r="A166" s="30" t="s">
        <v>565</v>
      </c>
      <c r="B166" s="3">
        <v>4671</v>
      </c>
      <c r="C166" s="3">
        <v>876</v>
      </c>
      <c r="D166" s="3">
        <v>366</v>
      </c>
      <c r="E166" s="30">
        <v>7.23</v>
      </c>
      <c r="F166">
        <v>180000</v>
      </c>
      <c r="G166">
        <f>(B166+C166+D166)/F166</f>
        <v>3.2849999999999997E-2</v>
      </c>
    </row>
    <row r="167" spans="1:7" hidden="1" x14ac:dyDescent="0.3">
      <c r="A167" s="30"/>
      <c r="B167" s="3">
        <v>3430</v>
      </c>
      <c r="C167" s="3">
        <v>566</v>
      </c>
      <c r="D167" s="3">
        <v>164</v>
      </c>
      <c r="E167" s="30">
        <v>9.39</v>
      </c>
      <c r="F167" t="b">
        <v>0</v>
      </c>
    </row>
    <row r="168" spans="1:7" x14ac:dyDescent="0.3">
      <c r="A168" s="30" t="s">
        <v>563</v>
      </c>
      <c r="B168" s="3">
        <v>4501</v>
      </c>
      <c r="C168" s="3">
        <v>375</v>
      </c>
      <c r="D168" s="3">
        <v>323</v>
      </c>
      <c r="E168" s="30">
        <v>5.12</v>
      </c>
      <c r="F168">
        <v>200000</v>
      </c>
      <c r="G168">
        <f t="shared" ref="G168:G171" si="24">(B168+C168+D168)/F168</f>
        <v>2.5995000000000001E-2</v>
      </c>
    </row>
    <row r="169" spans="1:7" x14ac:dyDescent="0.3">
      <c r="A169" s="30" t="s">
        <v>565</v>
      </c>
      <c r="B169" s="3">
        <v>4934</v>
      </c>
      <c r="C169" s="3">
        <v>971</v>
      </c>
      <c r="D169" s="3">
        <v>156</v>
      </c>
      <c r="E169" s="30">
        <v>6.11</v>
      </c>
      <c r="F169">
        <v>180000</v>
      </c>
      <c r="G169">
        <f t="shared" si="24"/>
        <v>3.3672222222222221E-2</v>
      </c>
    </row>
    <row r="170" spans="1:7" x14ac:dyDescent="0.3">
      <c r="A170" s="30" t="s">
        <v>563</v>
      </c>
      <c r="B170" s="3">
        <v>3239</v>
      </c>
      <c r="C170" s="3">
        <v>43</v>
      </c>
      <c r="D170" s="3">
        <v>211</v>
      </c>
      <c r="E170" s="30">
        <v>7.74</v>
      </c>
      <c r="F170">
        <v>200000</v>
      </c>
      <c r="G170">
        <f t="shared" si="24"/>
        <v>1.7465000000000001E-2</v>
      </c>
    </row>
    <row r="171" spans="1:7" x14ac:dyDescent="0.3">
      <c r="A171" s="30" t="s">
        <v>562</v>
      </c>
      <c r="B171" s="3">
        <v>1076</v>
      </c>
      <c r="C171" s="3">
        <v>313</v>
      </c>
      <c r="D171" s="3">
        <v>306</v>
      </c>
      <c r="E171" s="30">
        <v>4.9400000000000004</v>
      </c>
      <c r="F171">
        <v>150000</v>
      </c>
      <c r="G171">
        <f t="shared" si="24"/>
        <v>1.1299999999999999E-2</v>
      </c>
    </row>
    <row r="172" spans="1:7" hidden="1" x14ac:dyDescent="0.3">
      <c r="A172" s="30"/>
      <c r="B172" s="3">
        <v>4771</v>
      </c>
      <c r="C172" s="3">
        <v>818</v>
      </c>
      <c r="D172" s="3">
        <v>56</v>
      </c>
      <c r="E172" s="30">
        <v>1.8</v>
      </c>
      <c r="F172" t="b">
        <v>0</v>
      </c>
    </row>
    <row r="173" spans="1:7" x14ac:dyDescent="0.3">
      <c r="A173" s="30" t="s">
        <v>562</v>
      </c>
      <c r="B173" s="3">
        <v>2418</v>
      </c>
      <c r="C173" s="3">
        <v>754</v>
      </c>
      <c r="D173" s="3">
        <v>54</v>
      </c>
      <c r="E173" s="30">
        <v>8.64</v>
      </c>
      <c r="F173">
        <v>150000</v>
      </c>
      <c r="G173">
        <f t="shared" ref="G173:G178" si="25">(B173+C173+D173)/F173</f>
        <v>2.1506666666666667E-2</v>
      </c>
    </row>
    <row r="174" spans="1:7" x14ac:dyDescent="0.3">
      <c r="A174" s="30" t="s">
        <v>562</v>
      </c>
      <c r="B174" s="3">
        <v>3809</v>
      </c>
      <c r="C174" s="3">
        <v>273</v>
      </c>
      <c r="D174" s="3">
        <v>200</v>
      </c>
      <c r="E174" s="30">
        <v>1.53</v>
      </c>
      <c r="F174">
        <v>150000</v>
      </c>
      <c r="G174">
        <f t="shared" si="25"/>
        <v>2.8546666666666668E-2</v>
      </c>
    </row>
    <row r="175" spans="1:7" x14ac:dyDescent="0.3">
      <c r="A175" s="30" t="s">
        <v>564</v>
      </c>
      <c r="B175" s="3">
        <v>3577</v>
      </c>
      <c r="C175" s="3">
        <v>596</v>
      </c>
      <c r="D175" s="3">
        <v>493</v>
      </c>
      <c r="E175" s="30">
        <v>8.52</v>
      </c>
      <c r="F175">
        <v>250000</v>
      </c>
      <c r="G175">
        <f t="shared" si="25"/>
        <v>1.8664E-2</v>
      </c>
    </row>
    <row r="176" spans="1:7" x14ac:dyDescent="0.3">
      <c r="A176" s="30" t="s">
        <v>563</v>
      </c>
      <c r="B176" s="3">
        <v>1018</v>
      </c>
      <c r="C176" s="3">
        <v>447</v>
      </c>
      <c r="D176" s="3">
        <v>332</v>
      </c>
      <c r="E176" s="30">
        <v>5.53</v>
      </c>
      <c r="F176">
        <v>200000</v>
      </c>
      <c r="G176">
        <f t="shared" si="25"/>
        <v>8.9849999999999999E-3</v>
      </c>
    </row>
    <row r="177" spans="1:7" x14ac:dyDescent="0.3">
      <c r="A177" s="30" t="s">
        <v>564</v>
      </c>
      <c r="B177" s="3">
        <v>3073</v>
      </c>
      <c r="C177" s="3">
        <v>553</v>
      </c>
      <c r="D177" s="3">
        <v>174</v>
      </c>
      <c r="E177" s="30">
        <v>1.87</v>
      </c>
      <c r="F177">
        <v>250000</v>
      </c>
      <c r="G177">
        <f t="shared" si="25"/>
        <v>1.52E-2</v>
      </c>
    </row>
    <row r="178" spans="1:7" x14ac:dyDescent="0.3">
      <c r="A178" s="30" t="s">
        <v>564</v>
      </c>
      <c r="B178" s="3">
        <v>1330</v>
      </c>
      <c r="C178" s="3">
        <v>925</v>
      </c>
      <c r="D178" s="3">
        <v>35</v>
      </c>
      <c r="E178" s="30">
        <v>6.27</v>
      </c>
      <c r="F178">
        <v>250000</v>
      </c>
      <c r="G178">
        <f t="shared" si="25"/>
        <v>9.1599999999999997E-3</v>
      </c>
    </row>
    <row r="179" spans="1:7" hidden="1" x14ac:dyDescent="0.3">
      <c r="A179" s="30"/>
      <c r="B179" s="3">
        <v>3828</v>
      </c>
      <c r="C179" s="3">
        <v>148</v>
      </c>
      <c r="D179" s="3">
        <v>253</v>
      </c>
      <c r="E179" s="30">
        <v>9.4600000000000009</v>
      </c>
      <c r="F179" t="b">
        <v>0</v>
      </c>
    </row>
    <row r="180" spans="1:7" x14ac:dyDescent="0.3">
      <c r="A180" s="30" t="s">
        <v>565</v>
      </c>
      <c r="B180" s="3">
        <v>142</v>
      </c>
      <c r="C180" s="3">
        <v>784</v>
      </c>
      <c r="D180" s="3">
        <v>183</v>
      </c>
      <c r="E180" s="30">
        <v>7.5</v>
      </c>
      <c r="F180">
        <v>180000</v>
      </c>
      <c r="G180">
        <f t="shared" ref="G180:G183" si="26">(B180+C180+D180)/F180</f>
        <v>6.1611111111111111E-3</v>
      </c>
    </row>
    <row r="181" spans="1:7" x14ac:dyDescent="0.3">
      <c r="A181" s="30" t="s">
        <v>562</v>
      </c>
      <c r="B181" s="3">
        <v>3798</v>
      </c>
      <c r="C181" s="3">
        <v>31</v>
      </c>
      <c r="D181" s="3">
        <v>279</v>
      </c>
      <c r="E181" s="30">
        <v>4.7300000000000004</v>
      </c>
      <c r="F181">
        <v>150000</v>
      </c>
      <c r="G181">
        <f t="shared" si="26"/>
        <v>2.7386666666666667E-2</v>
      </c>
    </row>
    <row r="182" spans="1:7" x14ac:dyDescent="0.3">
      <c r="A182" s="30" t="s">
        <v>564</v>
      </c>
      <c r="B182" s="3">
        <v>3099</v>
      </c>
      <c r="C182" s="3">
        <v>694</v>
      </c>
      <c r="D182" s="3">
        <v>171</v>
      </c>
      <c r="E182" s="30">
        <v>3.19</v>
      </c>
      <c r="F182">
        <v>250000</v>
      </c>
      <c r="G182">
        <f t="shared" si="26"/>
        <v>1.5855999999999999E-2</v>
      </c>
    </row>
    <row r="183" spans="1:7" x14ac:dyDescent="0.3">
      <c r="A183" s="30" t="s">
        <v>565</v>
      </c>
      <c r="B183" s="3">
        <v>129</v>
      </c>
      <c r="C183" s="3">
        <v>643</v>
      </c>
      <c r="D183" s="3">
        <v>136</v>
      </c>
      <c r="E183" s="30">
        <v>2.4900000000000002</v>
      </c>
      <c r="F183">
        <v>180000</v>
      </c>
      <c r="G183">
        <f t="shared" si="26"/>
        <v>5.0444444444444443E-3</v>
      </c>
    </row>
    <row r="184" spans="1:7" hidden="1" x14ac:dyDescent="0.3">
      <c r="A184" s="30"/>
      <c r="B184" s="3">
        <v>3796</v>
      </c>
      <c r="C184" s="3">
        <v>667</v>
      </c>
      <c r="D184" s="3">
        <v>395</v>
      </c>
      <c r="E184" s="30">
        <v>4.5</v>
      </c>
      <c r="F184" t="b">
        <v>0</v>
      </c>
    </row>
    <row r="185" spans="1:7" x14ac:dyDescent="0.3">
      <c r="A185" s="30" t="s">
        <v>562</v>
      </c>
      <c r="B185" s="3">
        <v>3711</v>
      </c>
      <c r="C185" s="3">
        <v>352</v>
      </c>
      <c r="D185" s="3">
        <v>290</v>
      </c>
      <c r="E185" s="30">
        <v>6.49</v>
      </c>
      <c r="F185">
        <v>150000</v>
      </c>
      <c r="G185">
        <f t="shared" ref="G185:G189" si="27">(B185+C185+D185)/F185</f>
        <v>2.9020000000000001E-2</v>
      </c>
    </row>
    <row r="186" spans="1:7" x14ac:dyDescent="0.3">
      <c r="A186" s="30" t="s">
        <v>564</v>
      </c>
      <c r="B186" s="3">
        <v>606</v>
      </c>
      <c r="C186" s="3">
        <v>789</v>
      </c>
      <c r="D186" s="3">
        <v>470</v>
      </c>
      <c r="E186" s="30">
        <v>6.73</v>
      </c>
      <c r="F186">
        <v>250000</v>
      </c>
      <c r="G186">
        <f t="shared" si="27"/>
        <v>7.4599999999999996E-3</v>
      </c>
    </row>
    <row r="187" spans="1:7" x14ac:dyDescent="0.3">
      <c r="A187" s="30" t="s">
        <v>565</v>
      </c>
      <c r="B187" s="3">
        <v>4689</v>
      </c>
      <c r="C187" s="3">
        <v>134</v>
      </c>
      <c r="D187" s="3">
        <v>403</v>
      </c>
      <c r="E187" s="30">
        <v>4.83</v>
      </c>
      <c r="F187">
        <v>180000</v>
      </c>
      <c r="G187">
        <f t="shared" si="27"/>
        <v>2.9033333333333335E-2</v>
      </c>
    </row>
    <row r="188" spans="1:7" x14ac:dyDescent="0.3">
      <c r="A188" s="30" t="s">
        <v>563</v>
      </c>
      <c r="B188" s="3">
        <v>360</v>
      </c>
      <c r="C188" s="3">
        <v>590</v>
      </c>
      <c r="D188" s="3">
        <v>393</v>
      </c>
      <c r="E188" s="30">
        <v>5.3</v>
      </c>
      <c r="F188">
        <v>200000</v>
      </c>
      <c r="G188">
        <f t="shared" si="27"/>
        <v>6.7149999999999996E-3</v>
      </c>
    </row>
    <row r="189" spans="1:7" x14ac:dyDescent="0.3">
      <c r="A189" s="30" t="s">
        <v>562</v>
      </c>
      <c r="B189" s="3">
        <v>3215</v>
      </c>
      <c r="C189" s="3">
        <v>960</v>
      </c>
      <c r="D189" s="3">
        <v>202</v>
      </c>
      <c r="E189" s="30">
        <v>6.54</v>
      </c>
      <c r="F189">
        <v>150000</v>
      </c>
      <c r="G189">
        <f t="shared" si="27"/>
        <v>2.9180000000000001E-2</v>
      </c>
    </row>
    <row r="190" spans="1:7" hidden="1" x14ac:dyDescent="0.3">
      <c r="A190" s="30"/>
      <c r="B190" s="3">
        <v>4523</v>
      </c>
      <c r="C190" s="3">
        <v>61</v>
      </c>
      <c r="D190" s="3">
        <v>157</v>
      </c>
      <c r="E190" s="30">
        <v>6.8</v>
      </c>
      <c r="F190" t="b">
        <v>0</v>
      </c>
    </row>
    <row r="191" spans="1:7" x14ac:dyDescent="0.3">
      <c r="A191" s="30" t="s">
        <v>564</v>
      </c>
      <c r="B191" s="3">
        <v>4292</v>
      </c>
      <c r="C191" s="3">
        <v>51</v>
      </c>
      <c r="D191" s="3">
        <v>392</v>
      </c>
      <c r="E191" s="30">
        <v>2.6</v>
      </c>
      <c r="F191">
        <v>250000</v>
      </c>
      <c r="G191">
        <f t="shared" ref="G191:G194" si="28">(B191+C191+D191)/F191</f>
        <v>1.8939999999999999E-2</v>
      </c>
    </row>
    <row r="192" spans="1:7" x14ac:dyDescent="0.3">
      <c r="A192" s="30" t="s">
        <v>564</v>
      </c>
      <c r="B192" s="3">
        <v>1644</v>
      </c>
      <c r="C192" s="3">
        <v>546</v>
      </c>
      <c r="D192" s="3">
        <v>150</v>
      </c>
      <c r="E192" s="30">
        <v>2.44</v>
      </c>
      <c r="F192">
        <v>250000</v>
      </c>
      <c r="G192">
        <f t="shared" si="28"/>
        <v>9.3600000000000003E-3</v>
      </c>
    </row>
    <row r="193" spans="1:7" x14ac:dyDescent="0.3">
      <c r="A193" s="30" t="s">
        <v>563</v>
      </c>
      <c r="B193" s="3">
        <v>2728</v>
      </c>
      <c r="C193" s="3">
        <v>533</v>
      </c>
      <c r="D193" s="3">
        <v>215</v>
      </c>
      <c r="E193" s="30">
        <v>3.09</v>
      </c>
      <c r="F193">
        <v>200000</v>
      </c>
      <c r="G193">
        <f t="shared" si="28"/>
        <v>1.738E-2</v>
      </c>
    </row>
    <row r="194" spans="1:7" x14ac:dyDescent="0.3">
      <c r="A194" s="30" t="s">
        <v>562</v>
      </c>
      <c r="B194" s="3">
        <v>3360</v>
      </c>
      <c r="C194" s="3">
        <v>525</v>
      </c>
      <c r="D194" s="3">
        <v>500</v>
      </c>
      <c r="E194" s="30">
        <v>5.69</v>
      </c>
      <c r="F194">
        <v>150000</v>
      </c>
      <c r="G194">
        <f t="shared" si="28"/>
        <v>2.9233333333333333E-2</v>
      </c>
    </row>
    <row r="195" spans="1:7" hidden="1" x14ac:dyDescent="0.3">
      <c r="A195" s="30"/>
      <c r="B195" s="3">
        <v>1963</v>
      </c>
      <c r="C195" s="3">
        <v>213</v>
      </c>
      <c r="D195" s="3">
        <v>19</v>
      </c>
      <c r="E195" s="30">
        <v>3.86</v>
      </c>
      <c r="F195" t="b">
        <v>0</v>
      </c>
    </row>
    <row r="196" spans="1:7" x14ac:dyDescent="0.3">
      <c r="A196" s="30" t="s">
        <v>564</v>
      </c>
      <c r="B196" s="3">
        <v>4285</v>
      </c>
      <c r="C196" s="3">
        <v>886</v>
      </c>
      <c r="D196" s="3">
        <v>376</v>
      </c>
      <c r="E196" s="30">
        <v>3.16</v>
      </c>
      <c r="F196">
        <v>250000</v>
      </c>
      <c r="G196">
        <f>(B196+C196+D196)/F196</f>
        <v>2.2187999999999999E-2</v>
      </c>
    </row>
    <row r="197" spans="1:7" hidden="1" x14ac:dyDescent="0.3">
      <c r="A197" s="30"/>
      <c r="B197" s="3">
        <v>1176</v>
      </c>
      <c r="C197" s="3">
        <v>464</v>
      </c>
      <c r="D197" s="3">
        <v>394</v>
      </c>
      <c r="E197" s="30">
        <v>1.6</v>
      </c>
      <c r="F197" t="b">
        <v>0</v>
      </c>
    </row>
    <row r="198" spans="1:7" x14ac:dyDescent="0.3">
      <c r="A198" s="30" t="s">
        <v>564</v>
      </c>
      <c r="B198" s="3">
        <v>4858</v>
      </c>
      <c r="C198" s="3">
        <v>317</v>
      </c>
      <c r="D198" s="3">
        <v>129</v>
      </c>
      <c r="E198" s="30">
        <v>6.09</v>
      </c>
      <c r="F198">
        <v>250000</v>
      </c>
      <c r="G198">
        <f t="shared" ref="G198:G221" si="29">(B198+C198+D198)/F198</f>
        <v>2.1215999999999999E-2</v>
      </c>
    </row>
    <row r="199" spans="1:7" x14ac:dyDescent="0.3">
      <c r="A199" s="30" t="s">
        <v>562</v>
      </c>
      <c r="B199" s="3">
        <v>4350</v>
      </c>
      <c r="C199" s="3">
        <v>771</v>
      </c>
      <c r="D199" s="3">
        <v>7</v>
      </c>
      <c r="E199" s="30">
        <v>5.59</v>
      </c>
      <c r="F199">
        <v>150000</v>
      </c>
      <c r="G199">
        <f t="shared" si="29"/>
        <v>3.4186666666666664E-2</v>
      </c>
    </row>
    <row r="200" spans="1:7" x14ac:dyDescent="0.3">
      <c r="A200" s="30" t="s">
        <v>565</v>
      </c>
      <c r="B200" s="3">
        <v>914</v>
      </c>
      <c r="C200" s="3">
        <v>464</v>
      </c>
      <c r="D200" s="3">
        <v>246</v>
      </c>
      <c r="E200" s="30">
        <v>3.55</v>
      </c>
      <c r="F200">
        <v>180000</v>
      </c>
      <c r="G200">
        <f t="shared" si="29"/>
        <v>9.0222222222222214E-3</v>
      </c>
    </row>
    <row r="201" spans="1:7" x14ac:dyDescent="0.3">
      <c r="A201" s="30" t="s">
        <v>564</v>
      </c>
      <c r="B201" s="3">
        <v>1813</v>
      </c>
      <c r="C201" s="3">
        <v>623</v>
      </c>
      <c r="D201" s="3">
        <v>72</v>
      </c>
      <c r="E201" s="30">
        <v>5.21</v>
      </c>
      <c r="F201">
        <v>250000</v>
      </c>
      <c r="G201">
        <f t="shared" si="29"/>
        <v>1.0031999999999999E-2</v>
      </c>
    </row>
    <row r="202" spans="1:7" x14ac:dyDescent="0.3">
      <c r="A202" s="30" t="s">
        <v>562</v>
      </c>
      <c r="B202" s="3">
        <v>4782</v>
      </c>
      <c r="C202" s="3">
        <v>721</v>
      </c>
      <c r="D202" s="3">
        <v>82</v>
      </c>
      <c r="E202" s="30">
        <v>1.82</v>
      </c>
      <c r="F202">
        <v>150000</v>
      </c>
      <c r="G202">
        <f t="shared" si="29"/>
        <v>3.7233333333333334E-2</v>
      </c>
    </row>
    <row r="203" spans="1:7" x14ac:dyDescent="0.3">
      <c r="A203" s="30" t="s">
        <v>564</v>
      </c>
      <c r="B203" s="3">
        <v>1048</v>
      </c>
      <c r="C203" s="3">
        <v>374</v>
      </c>
      <c r="D203" s="3">
        <v>450</v>
      </c>
      <c r="E203" s="30">
        <v>4</v>
      </c>
      <c r="F203">
        <v>250000</v>
      </c>
      <c r="G203">
        <f t="shared" si="29"/>
        <v>7.4879999999999999E-3</v>
      </c>
    </row>
    <row r="204" spans="1:7" x14ac:dyDescent="0.3">
      <c r="A204" s="30" t="s">
        <v>563</v>
      </c>
      <c r="B204" s="3">
        <v>2509</v>
      </c>
      <c r="C204" s="3">
        <v>324</v>
      </c>
      <c r="D204" s="3">
        <v>171</v>
      </c>
      <c r="E204" s="30">
        <v>7.57</v>
      </c>
      <c r="F204">
        <v>200000</v>
      </c>
      <c r="G204">
        <f t="shared" si="29"/>
        <v>1.502E-2</v>
      </c>
    </row>
    <row r="205" spans="1:7" x14ac:dyDescent="0.3">
      <c r="A205" s="30" t="s">
        <v>563</v>
      </c>
      <c r="B205" s="3">
        <v>3718</v>
      </c>
      <c r="C205" s="3">
        <v>385</v>
      </c>
      <c r="D205" s="3">
        <v>310</v>
      </c>
      <c r="E205" s="30">
        <v>6.81</v>
      </c>
      <c r="F205">
        <v>200000</v>
      </c>
      <c r="G205">
        <f t="shared" si="29"/>
        <v>2.2065000000000001E-2</v>
      </c>
    </row>
    <row r="206" spans="1:7" x14ac:dyDescent="0.3">
      <c r="A206" s="30" t="s">
        <v>562</v>
      </c>
      <c r="B206" s="3">
        <v>802</v>
      </c>
      <c r="C206" s="3">
        <v>262</v>
      </c>
      <c r="D206" s="3">
        <v>244</v>
      </c>
      <c r="F206">
        <v>150000</v>
      </c>
      <c r="G206">
        <f t="shared" si="29"/>
        <v>8.7200000000000003E-3</v>
      </c>
    </row>
    <row r="207" spans="1:7" x14ac:dyDescent="0.3">
      <c r="A207" s="30" t="s">
        <v>564</v>
      </c>
      <c r="B207" s="3">
        <v>1871</v>
      </c>
      <c r="C207" s="3">
        <v>252</v>
      </c>
      <c r="D207" s="3">
        <v>335</v>
      </c>
      <c r="F207">
        <v>250000</v>
      </c>
      <c r="G207">
        <f t="shared" si="29"/>
        <v>9.8320000000000005E-3</v>
      </c>
    </row>
    <row r="208" spans="1:7" x14ac:dyDescent="0.3">
      <c r="A208" s="30" t="s">
        <v>562</v>
      </c>
      <c r="B208" s="3">
        <v>3773</v>
      </c>
      <c r="C208" s="3">
        <v>299</v>
      </c>
      <c r="D208" s="3">
        <v>38</v>
      </c>
      <c r="F208">
        <v>150000</v>
      </c>
      <c r="G208">
        <f t="shared" si="29"/>
        <v>2.7400000000000001E-2</v>
      </c>
    </row>
    <row r="209" spans="1:7" x14ac:dyDescent="0.3">
      <c r="A209" s="30" t="s">
        <v>564</v>
      </c>
      <c r="B209" s="3">
        <v>2234</v>
      </c>
      <c r="C209" s="3">
        <v>653</v>
      </c>
      <c r="D209" s="3">
        <v>432</v>
      </c>
      <c r="F209">
        <v>250000</v>
      </c>
      <c r="G209">
        <f t="shared" si="29"/>
        <v>1.3276E-2</v>
      </c>
    </row>
    <row r="210" spans="1:7" x14ac:dyDescent="0.3">
      <c r="A210" s="30" t="s">
        <v>565</v>
      </c>
      <c r="B210" s="3">
        <v>3820</v>
      </c>
      <c r="C210" s="3">
        <v>697</v>
      </c>
      <c r="D210" s="3">
        <v>268</v>
      </c>
      <c r="F210">
        <v>180000</v>
      </c>
      <c r="G210">
        <f t="shared" si="29"/>
        <v>2.6583333333333334E-2</v>
      </c>
    </row>
    <row r="211" spans="1:7" x14ac:dyDescent="0.3">
      <c r="A211" s="30" t="s">
        <v>562</v>
      </c>
      <c r="B211" s="3">
        <v>941</v>
      </c>
      <c r="C211" s="3">
        <v>121</v>
      </c>
      <c r="D211" s="3">
        <v>458</v>
      </c>
      <c r="F211">
        <v>150000</v>
      </c>
      <c r="G211">
        <f t="shared" si="29"/>
        <v>1.0133333333333333E-2</v>
      </c>
    </row>
    <row r="212" spans="1:7" x14ac:dyDescent="0.3">
      <c r="A212" s="30" t="s">
        <v>564</v>
      </c>
      <c r="B212" s="3">
        <v>4274</v>
      </c>
      <c r="C212" s="3">
        <v>340</v>
      </c>
      <c r="D212" s="3">
        <v>281</v>
      </c>
      <c r="F212">
        <v>250000</v>
      </c>
      <c r="G212">
        <f t="shared" si="29"/>
        <v>1.958E-2</v>
      </c>
    </row>
    <row r="213" spans="1:7" x14ac:dyDescent="0.3">
      <c r="A213" s="30" t="s">
        <v>563</v>
      </c>
      <c r="B213" s="3">
        <v>2949</v>
      </c>
      <c r="C213" s="3">
        <v>476</v>
      </c>
      <c r="D213" s="3">
        <v>403</v>
      </c>
      <c r="F213">
        <v>200000</v>
      </c>
      <c r="G213">
        <f t="shared" si="29"/>
        <v>1.9140000000000001E-2</v>
      </c>
    </row>
    <row r="214" spans="1:7" x14ac:dyDescent="0.3">
      <c r="A214" s="30" t="s">
        <v>565</v>
      </c>
      <c r="B214" s="3">
        <v>3160</v>
      </c>
      <c r="C214" s="3">
        <v>204</v>
      </c>
      <c r="D214" s="3">
        <v>297</v>
      </c>
      <c r="F214">
        <v>180000</v>
      </c>
      <c r="G214">
        <f t="shared" si="29"/>
        <v>2.0338888888888889E-2</v>
      </c>
    </row>
    <row r="215" spans="1:7" x14ac:dyDescent="0.3">
      <c r="A215" s="30" t="s">
        <v>562</v>
      </c>
      <c r="B215" s="3">
        <v>257</v>
      </c>
      <c r="C215" s="3">
        <v>966</v>
      </c>
      <c r="D215" s="3">
        <v>398</v>
      </c>
      <c r="F215">
        <v>150000</v>
      </c>
      <c r="G215">
        <f t="shared" si="29"/>
        <v>1.0806666666666666E-2</v>
      </c>
    </row>
    <row r="216" spans="1:7" x14ac:dyDescent="0.3">
      <c r="A216" s="30" t="s">
        <v>565</v>
      </c>
      <c r="B216" s="3">
        <v>2120</v>
      </c>
      <c r="C216" s="3">
        <v>38</v>
      </c>
      <c r="D216" s="3">
        <v>212</v>
      </c>
      <c r="F216">
        <v>180000</v>
      </c>
      <c r="G216">
        <f t="shared" si="29"/>
        <v>1.3166666666666667E-2</v>
      </c>
    </row>
    <row r="217" spans="1:7" x14ac:dyDescent="0.3">
      <c r="A217" s="30" t="s">
        <v>563</v>
      </c>
      <c r="B217" s="3">
        <v>3874</v>
      </c>
      <c r="C217" s="3">
        <v>884</v>
      </c>
      <c r="D217" s="3">
        <v>19</v>
      </c>
      <c r="F217">
        <v>200000</v>
      </c>
      <c r="G217">
        <f t="shared" si="29"/>
        <v>2.3885E-2</v>
      </c>
    </row>
    <row r="218" spans="1:7" x14ac:dyDescent="0.3">
      <c r="A218" s="30" t="s">
        <v>565</v>
      </c>
      <c r="B218" s="3">
        <v>2696</v>
      </c>
      <c r="C218" s="3">
        <v>628</v>
      </c>
      <c r="D218" s="3">
        <v>443</v>
      </c>
      <c r="F218">
        <v>180000</v>
      </c>
      <c r="G218">
        <f t="shared" si="29"/>
        <v>2.0927777777777778E-2</v>
      </c>
    </row>
    <row r="219" spans="1:7" x14ac:dyDescent="0.3">
      <c r="A219" s="30" t="s">
        <v>563</v>
      </c>
      <c r="B219" s="3">
        <v>521</v>
      </c>
      <c r="C219" s="3">
        <v>746</v>
      </c>
      <c r="D219" s="3">
        <v>315</v>
      </c>
      <c r="F219">
        <v>200000</v>
      </c>
      <c r="G219">
        <f t="shared" si="29"/>
        <v>7.9100000000000004E-3</v>
      </c>
    </row>
    <row r="220" spans="1:7" x14ac:dyDescent="0.3">
      <c r="A220" s="30" t="s">
        <v>563</v>
      </c>
      <c r="B220" s="3">
        <v>4872</v>
      </c>
      <c r="C220" s="3">
        <v>925</v>
      </c>
      <c r="D220" s="3">
        <v>176</v>
      </c>
      <c r="F220">
        <v>200000</v>
      </c>
      <c r="G220">
        <f t="shared" si="29"/>
        <v>2.9864999999999999E-2</v>
      </c>
    </row>
    <row r="221" spans="1:7" x14ac:dyDescent="0.3">
      <c r="A221" s="30" t="s">
        <v>563</v>
      </c>
      <c r="B221" s="3">
        <v>1509</v>
      </c>
      <c r="C221" s="3">
        <v>88</v>
      </c>
      <c r="D221" s="3">
        <v>163</v>
      </c>
      <c r="F221">
        <v>200000</v>
      </c>
      <c r="G221">
        <f t="shared" si="29"/>
        <v>8.8000000000000005E-3</v>
      </c>
    </row>
    <row r="222" spans="1:7" hidden="1" x14ac:dyDescent="0.3">
      <c r="A222" s="30"/>
      <c r="B222" s="3">
        <v>4606</v>
      </c>
      <c r="C222" s="3">
        <v>931</v>
      </c>
      <c r="D222" s="3">
        <v>230</v>
      </c>
      <c r="F222" t="b">
        <v>0</v>
      </c>
    </row>
    <row r="223" spans="1:7" x14ac:dyDescent="0.3">
      <c r="A223" s="30" t="s">
        <v>565</v>
      </c>
      <c r="B223" s="3">
        <v>1869</v>
      </c>
      <c r="C223" s="3">
        <v>453</v>
      </c>
      <c r="D223" s="3">
        <v>490</v>
      </c>
      <c r="F223">
        <v>180000</v>
      </c>
      <c r="G223">
        <f t="shared" ref="G223:G224" si="30">(B223+C223+D223)/F223</f>
        <v>1.5622222222222221E-2</v>
      </c>
    </row>
    <row r="224" spans="1:7" x14ac:dyDescent="0.3">
      <c r="A224" s="30" t="s">
        <v>565</v>
      </c>
      <c r="B224" s="3">
        <v>1188</v>
      </c>
      <c r="C224" s="3">
        <v>470</v>
      </c>
      <c r="D224" s="3">
        <v>174</v>
      </c>
      <c r="F224">
        <v>180000</v>
      </c>
      <c r="G224">
        <f t="shared" si="30"/>
        <v>1.0177777777777779E-2</v>
      </c>
    </row>
    <row r="225" spans="1:7" hidden="1" x14ac:dyDescent="0.3">
      <c r="A225" s="30"/>
      <c r="B225" s="3">
        <v>84</v>
      </c>
      <c r="C225" s="3">
        <v>897</v>
      </c>
      <c r="D225" s="3">
        <v>85</v>
      </c>
      <c r="F225" t="b">
        <v>0</v>
      </c>
    </row>
    <row r="226" spans="1:7" hidden="1" x14ac:dyDescent="0.3">
      <c r="A226" s="30"/>
      <c r="B226" s="3">
        <v>4453</v>
      </c>
      <c r="C226" s="3">
        <v>111</v>
      </c>
      <c r="D226" s="3">
        <v>420</v>
      </c>
      <c r="F226" t="b">
        <v>0</v>
      </c>
    </row>
    <row r="227" spans="1:7" x14ac:dyDescent="0.3">
      <c r="A227" s="30" t="s">
        <v>562</v>
      </c>
      <c r="B227" s="3">
        <v>1814</v>
      </c>
      <c r="C227" s="3">
        <v>653</v>
      </c>
      <c r="D227" s="3">
        <v>363</v>
      </c>
      <c r="F227">
        <v>150000</v>
      </c>
      <c r="G227">
        <f>(B227+C227+D227)/F227</f>
        <v>1.8866666666666667E-2</v>
      </c>
    </row>
    <row r="228" spans="1:7" hidden="1" x14ac:dyDescent="0.3">
      <c r="A228" s="30"/>
      <c r="B228" s="3">
        <v>3338</v>
      </c>
      <c r="C228" s="3">
        <v>277</v>
      </c>
      <c r="D228" s="3">
        <v>118</v>
      </c>
      <c r="F228" t="b">
        <v>0</v>
      </c>
    </row>
    <row r="229" spans="1:7" x14ac:dyDescent="0.3">
      <c r="A229" s="30" t="s">
        <v>564</v>
      </c>
      <c r="B229" s="3">
        <v>602</v>
      </c>
      <c r="C229" s="3">
        <v>594</v>
      </c>
      <c r="D229" s="3">
        <v>156</v>
      </c>
      <c r="F229">
        <v>250000</v>
      </c>
      <c r="G229">
        <f>(B229+C229+D229)/F229</f>
        <v>5.4079999999999996E-3</v>
      </c>
    </row>
    <row r="230" spans="1:7" hidden="1" x14ac:dyDescent="0.3">
      <c r="A230" s="30"/>
      <c r="B230" s="3">
        <v>4672</v>
      </c>
      <c r="C230" s="3">
        <v>325</v>
      </c>
      <c r="D230" s="3">
        <v>32</v>
      </c>
      <c r="F230" t="b">
        <v>0</v>
      </c>
    </row>
    <row r="231" spans="1:7" hidden="1" x14ac:dyDescent="0.3">
      <c r="A231" s="30"/>
      <c r="B231" s="3">
        <v>1741</v>
      </c>
      <c r="C231" s="3">
        <v>164</v>
      </c>
      <c r="D231" s="3">
        <v>318</v>
      </c>
      <c r="F231" t="b">
        <v>0</v>
      </c>
    </row>
    <row r="232" spans="1:7" x14ac:dyDescent="0.3">
      <c r="A232" s="30" t="s">
        <v>564</v>
      </c>
      <c r="B232" s="3">
        <v>246</v>
      </c>
      <c r="C232" s="3">
        <v>149</v>
      </c>
      <c r="D232" s="3">
        <v>130</v>
      </c>
      <c r="F232">
        <v>250000</v>
      </c>
      <c r="G232">
        <f t="shared" ref="G232:G233" si="31">(B232+C232+D232)/F232</f>
        <v>2.0999999999999999E-3</v>
      </c>
    </row>
    <row r="233" spans="1:7" x14ac:dyDescent="0.3">
      <c r="A233" s="30" t="s">
        <v>562</v>
      </c>
      <c r="B233" s="3">
        <v>4808</v>
      </c>
      <c r="C233" s="3">
        <v>772</v>
      </c>
      <c r="D233" s="3">
        <v>320</v>
      </c>
      <c r="F233">
        <v>150000</v>
      </c>
      <c r="G233">
        <f t="shared" si="31"/>
        <v>3.9333333333333331E-2</v>
      </c>
    </row>
    <row r="234" spans="1:7" hidden="1" x14ac:dyDescent="0.3">
      <c r="A234" s="30"/>
      <c r="B234" s="3">
        <v>4799</v>
      </c>
      <c r="C234" s="3">
        <v>694</v>
      </c>
      <c r="D234" s="3">
        <v>289</v>
      </c>
      <c r="F234" t="b">
        <v>0</v>
      </c>
    </row>
    <row r="235" spans="1:7" x14ac:dyDescent="0.3">
      <c r="A235" s="30" t="s">
        <v>564</v>
      </c>
      <c r="B235" s="3">
        <v>3663</v>
      </c>
      <c r="C235" s="3">
        <v>17</v>
      </c>
      <c r="D235" s="3">
        <v>295</v>
      </c>
      <c r="F235">
        <v>250000</v>
      </c>
      <c r="G235">
        <f t="shared" ref="G235:G238" si="32">(B235+C235+D235)/F235</f>
        <v>1.5900000000000001E-2</v>
      </c>
    </row>
    <row r="236" spans="1:7" x14ac:dyDescent="0.3">
      <c r="A236" s="30" t="s">
        <v>562</v>
      </c>
      <c r="B236" s="3">
        <v>1430</v>
      </c>
      <c r="C236" s="3">
        <v>376</v>
      </c>
      <c r="D236" s="3">
        <v>33</v>
      </c>
      <c r="F236">
        <v>150000</v>
      </c>
      <c r="G236">
        <f t="shared" si="32"/>
        <v>1.226E-2</v>
      </c>
    </row>
    <row r="237" spans="1:7" x14ac:dyDescent="0.3">
      <c r="A237" s="30" t="s">
        <v>565</v>
      </c>
      <c r="B237" s="3">
        <v>249</v>
      </c>
      <c r="C237" s="3">
        <v>592</v>
      </c>
      <c r="D237" s="3">
        <v>230</v>
      </c>
      <c r="F237">
        <v>180000</v>
      </c>
      <c r="G237">
        <f t="shared" si="32"/>
        <v>5.9500000000000004E-3</v>
      </c>
    </row>
    <row r="238" spans="1:7" x14ac:dyDescent="0.3">
      <c r="A238" s="30" t="s">
        <v>565</v>
      </c>
      <c r="B238" s="3">
        <v>2382</v>
      </c>
      <c r="C238" s="3">
        <v>265</v>
      </c>
      <c r="D238" s="3">
        <v>134</v>
      </c>
      <c r="F238">
        <v>180000</v>
      </c>
      <c r="G238">
        <f t="shared" si="32"/>
        <v>1.545E-2</v>
      </c>
    </row>
    <row r="239" spans="1:7" hidden="1" x14ac:dyDescent="0.3">
      <c r="A239" s="30"/>
      <c r="B239" s="3">
        <v>1272</v>
      </c>
      <c r="C239" s="3">
        <v>465</v>
      </c>
      <c r="D239" s="3">
        <v>99</v>
      </c>
      <c r="F239" t="b">
        <v>0</v>
      </c>
    </row>
    <row r="240" spans="1:7" x14ac:dyDescent="0.3">
      <c r="A240" s="30" t="s">
        <v>564</v>
      </c>
      <c r="B240" s="3">
        <v>3196</v>
      </c>
      <c r="C240" s="3">
        <v>941</v>
      </c>
      <c r="D240" s="3">
        <v>376</v>
      </c>
      <c r="F240">
        <v>250000</v>
      </c>
      <c r="G240">
        <f t="shared" ref="G240:G243" si="33">(B240+C240+D240)/F240</f>
        <v>1.8051999999999999E-2</v>
      </c>
    </row>
    <row r="241" spans="1:7" x14ac:dyDescent="0.3">
      <c r="A241" s="30" t="s">
        <v>563</v>
      </c>
      <c r="B241" s="3">
        <v>1257</v>
      </c>
      <c r="C241" s="3">
        <v>19</v>
      </c>
      <c r="D241" s="3">
        <v>351</v>
      </c>
      <c r="F241">
        <v>200000</v>
      </c>
      <c r="G241">
        <f t="shared" si="33"/>
        <v>8.1349999999999999E-3</v>
      </c>
    </row>
    <row r="242" spans="1:7" x14ac:dyDescent="0.3">
      <c r="A242" s="30" t="s">
        <v>562</v>
      </c>
      <c r="B242" s="3">
        <v>3770</v>
      </c>
      <c r="C242" s="3">
        <v>917</v>
      </c>
      <c r="D242" s="3">
        <v>129</v>
      </c>
      <c r="F242">
        <v>150000</v>
      </c>
      <c r="G242">
        <f t="shared" si="33"/>
        <v>3.2106666666666665E-2</v>
      </c>
    </row>
    <row r="243" spans="1:7" x14ac:dyDescent="0.3">
      <c r="A243" s="30" t="s">
        <v>565</v>
      </c>
      <c r="B243" s="3">
        <v>4725</v>
      </c>
      <c r="C243" s="3">
        <v>400</v>
      </c>
      <c r="D243" s="3">
        <v>362</v>
      </c>
      <c r="F243">
        <v>180000</v>
      </c>
      <c r="G243">
        <f t="shared" si="33"/>
        <v>3.0483333333333335E-2</v>
      </c>
    </row>
    <row r="244" spans="1:7" hidden="1" x14ac:dyDescent="0.3">
      <c r="A244" s="30"/>
      <c r="B244" s="3">
        <v>4188</v>
      </c>
      <c r="C244" s="3">
        <v>942</v>
      </c>
      <c r="D244" s="3">
        <v>118</v>
      </c>
      <c r="F244" t="b">
        <v>0</v>
      </c>
    </row>
    <row r="245" spans="1:7" x14ac:dyDescent="0.3">
      <c r="A245" s="30" t="s">
        <v>564</v>
      </c>
      <c r="B245" s="3">
        <v>929</v>
      </c>
      <c r="C245" s="3">
        <v>192</v>
      </c>
      <c r="D245" s="3">
        <v>322</v>
      </c>
      <c r="F245">
        <v>250000</v>
      </c>
      <c r="G245">
        <f t="shared" ref="G245:G251" si="34">(B245+C245+D245)/F245</f>
        <v>5.7720000000000002E-3</v>
      </c>
    </row>
    <row r="246" spans="1:7" x14ac:dyDescent="0.3">
      <c r="A246" s="30" t="s">
        <v>565</v>
      </c>
      <c r="B246" s="3">
        <v>4321</v>
      </c>
      <c r="C246" s="3">
        <v>874</v>
      </c>
      <c r="D246" s="3">
        <v>172</v>
      </c>
      <c r="F246">
        <v>180000</v>
      </c>
      <c r="G246">
        <f t="shared" si="34"/>
        <v>2.9816666666666668E-2</v>
      </c>
    </row>
    <row r="247" spans="1:7" x14ac:dyDescent="0.3">
      <c r="A247" s="30" t="s">
        <v>564</v>
      </c>
      <c r="B247" s="3">
        <v>4767</v>
      </c>
      <c r="C247" s="3">
        <v>190</v>
      </c>
      <c r="D247" s="3">
        <v>340</v>
      </c>
      <c r="F247">
        <v>250000</v>
      </c>
      <c r="G247">
        <f t="shared" si="34"/>
        <v>2.1187999999999999E-2</v>
      </c>
    </row>
    <row r="248" spans="1:7" x14ac:dyDescent="0.3">
      <c r="A248" s="30" t="s">
        <v>565</v>
      </c>
      <c r="B248" s="3">
        <v>3592</v>
      </c>
      <c r="C248" s="3">
        <v>911</v>
      </c>
      <c r="D248" s="3">
        <v>375</v>
      </c>
      <c r="F248">
        <v>180000</v>
      </c>
      <c r="G248">
        <f t="shared" si="34"/>
        <v>2.7099999999999999E-2</v>
      </c>
    </row>
    <row r="249" spans="1:7" x14ac:dyDescent="0.3">
      <c r="A249" s="30" t="s">
        <v>564</v>
      </c>
      <c r="B249" s="3">
        <v>4661</v>
      </c>
      <c r="C249" s="3">
        <v>935</v>
      </c>
      <c r="D249" s="3">
        <v>433</v>
      </c>
      <c r="F249">
        <v>250000</v>
      </c>
      <c r="G249">
        <f t="shared" si="34"/>
        <v>2.4115999999999999E-2</v>
      </c>
    </row>
    <row r="250" spans="1:7" x14ac:dyDescent="0.3">
      <c r="A250" s="30" t="s">
        <v>562</v>
      </c>
      <c r="B250" s="3">
        <v>4134</v>
      </c>
      <c r="C250" s="3">
        <v>824</v>
      </c>
      <c r="D250" s="3">
        <v>99</v>
      </c>
      <c r="F250">
        <v>150000</v>
      </c>
      <c r="G250">
        <f t="shared" si="34"/>
        <v>3.3713333333333331E-2</v>
      </c>
    </row>
    <row r="251" spans="1:7" x14ac:dyDescent="0.3">
      <c r="A251" s="30" t="s">
        <v>563</v>
      </c>
      <c r="B251" s="3">
        <v>400</v>
      </c>
      <c r="C251" s="3">
        <v>680</v>
      </c>
      <c r="D251" s="3">
        <v>434</v>
      </c>
      <c r="F251">
        <v>200000</v>
      </c>
      <c r="G251">
        <f t="shared" si="34"/>
        <v>7.5700000000000003E-3</v>
      </c>
    </row>
    <row r="252" spans="1:7" hidden="1" x14ac:dyDescent="0.3">
      <c r="A252" s="30"/>
      <c r="B252" s="3">
        <v>3960</v>
      </c>
      <c r="C252" s="3">
        <v>266</v>
      </c>
      <c r="D252" s="3">
        <v>8</v>
      </c>
      <c r="F252" t="b">
        <v>0</v>
      </c>
    </row>
    <row r="253" spans="1:7" hidden="1" x14ac:dyDescent="0.3">
      <c r="A253" s="30"/>
      <c r="B253" s="3">
        <v>886</v>
      </c>
      <c r="C253" s="3">
        <v>126</v>
      </c>
      <c r="D253" s="3">
        <v>153</v>
      </c>
      <c r="F253" t="b">
        <v>0</v>
      </c>
    </row>
    <row r="254" spans="1:7" x14ac:dyDescent="0.3">
      <c r="A254" s="30" t="s">
        <v>563</v>
      </c>
      <c r="B254" s="3">
        <v>827</v>
      </c>
      <c r="C254" s="3">
        <v>77</v>
      </c>
      <c r="D254" s="3">
        <v>402</v>
      </c>
      <c r="F254">
        <v>200000</v>
      </c>
      <c r="G254">
        <f>(B254+C254+D254)/F254</f>
        <v>6.5300000000000002E-3</v>
      </c>
    </row>
    <row r="255" spans="1:7" hidden="1" x14ac:dyDescent="0.3">
      <c r="A255" s="30"/>
      <c r="B255" s="3">
        <v>3813</v>
      </c>
      <c r="C255" s="3">
        <v>935</v>
      </c>
      <c r="D255" s="3">
        <v>274</v>
      </c>
      <c r="F255" t="b">
        <v>0</v>
      </c>
    </row>
    <row r="256" spans="1:7" hidden="1" x14ac:dyDescent="0.3">
      <c r="A256" s="30"/>
      <c r="B256" s="3">
        <v>1377</v>
      </c>
      <c r="C256" s="3">
        <v>796</v>
      </c>
      <c r="D256" s="3">
        <v>387</v>
      </c>
      <c r="F256" t="b">
        <v>0</v>
      </c>
    </row>
    <row r="257" spans="1:7" x14ac:dyDescent="0.3">
      <c r="A257" s="30" t="s">
        <v>564</v>
      </c>
      <c r="B257" s="3">
        <v>2089</v>
      </c>
      <c r="C257" s="3">
        <v>476</v>
      </c>
      <c r="D257" s="3">
        <v>69</v>
      </c>
      <c r="F257">
        <v>250000</v>
      </c>
      <c r="G257">
        <f>(B257+C257+D257)/F257</f>
        <v>1.0536E-2</v>
      </c>
    </row>
    <row r="258" spans="1:7" hidden="1" x14ac:dyDescent="0.3">
      <c r="A258" s="30"/>
      <c r="B258" s="3">
        <v>3791</v>
      </c>
      <c r="C258" s="3">
        <v>593</v>
      </c>
      <c r="D258" s="3">
        <v>228</v>
      </c>
      <c r="F258" t="b">
        <v>0</v>
      </c>
    </row>
    <row r="259" spans="1:7" x14ac:dyDescent="0.3">
      <c r="A259" s="30" t="s">
        <v>563</v>
      </c>
      <c r="B259" s="3">
        <v>2692</v>
      </c>
      <c r="C259" s="3">
        <v>115</v>
      </c>
      <c r="D259" s="3">
        <v>64</v>
      </c>
      <c r="F259">
        <v>200000</v>
      </c>
      <c r="G259">
        <f t="shared" ref="G259:G266" si="35">(B259+C259+D259)/F259</f>
        <v>1.4355E-2</v>
      </c>
    </row>
    <row r="260" spans="1:7" x14ac:dyDescent="0.3">
      <c r="A260" s="30" t="s">
        <v>565</v>
      </c>
      <c r="B260" s="3">
        <v>3767</v>
      </c>
      <c r="C260" s="3">
        <v>514</v>
      </c>
      <c r="D260" s="3">
        <v>238</v>
      </c>
      <c r="F260">
        <v>180000</v>
      </c>
      <c r="G260">
        <f t="shared" si="35"/>
        <v>2.5105555555555555E-2</v>
      </c>
    </row>
    <row r="261" spans="1:7" x14ac:dyDescent="0.3">
      <c r="A261" s="30" t="s">
        <v>563</v>
      </c>
      <c r="B261" s="3">
        <v>2143</v>
      </c>
      <c r="C261" s="3">
        <v>12</v>
      </c>
      <c r="D261" s="3">
        <v>204</v>
      </c>
      <c r="F261">
        <v>200000</v>
      </c>
      <c r="G261">
        <f t="shared" si="35"/>
        <v>1.1795E-2</v>
      </c>
    </row>
    <row r="262" spans="1:7" x14ac:dyDescent="0.3">
      <c r="A262" s="30" t="s">
        <v>563</v>
      </c>
      <c r="B262" s="3">
        <v>3090</v>
      </c>
      <c r="C262" s="3">
        <v>697</v>
      </c>
      <c r="D262" s="3">
        <v>164</v>
      </c>
      <c r="F262">
        <v>200000</v>
      </c>
      <c r="G262">
        <f t="shared" si="35"/>
        <v>1.9755000000000002E-2</v>
      </c>
    </row>
    <row r="263" spans="1:7" x14ac:dyDescent="0.3">
      <c r="A263" s="30" t="s">
        <v>563</v>
      </c>
      <c r="B263" s="3">
        <v>3601</v>
      </c>
      <c r="C263" s="3">
        <v>695</v>
      </c>
      <c r="D263" s="3">
        <v>75</v>
      </c>
      <c r="F263">
        <v>200000</v>
      </c>
      <c r="G263">
        <f t="shared" si="35"/>
        <v>2.1854999999999999E-2</v>
      </c>
    </row>
    <row r="264" spans="1:7" x14ac:dyDescent="0.3">
      <c r="A264" s="30" t="s">
        <v>562</v>
      </c>
      <c r="B264" s="3">
        <v>562</v>
      </c>
      <c r="C264" s="3">
        <v>158</v>
      </c>
      <c r="D264" s="3">
        <v>149</v>
      </c>
      <c r="F264">
        <v>150000</v>
      </c>
      <c r="G264">
        <f t="shared" si="35"/>
        <v>5.7933333333333335E-3</v>
      </c>
    </row>
    <row r="265" spans="1:7" x14ac:dyDescent="0.3">
      <c r="A265" s="30" t="s">
        <v>564</v>
      </c>
      <c r="B265" s="3">
        <v>4332</v>
      </c>
      <c r="C265" s="3">
        <v>771</v>
      </c>
      <c r="D265" s="3">
        <v>219</v>
      </c>
      <c r="F265">
        <v>250000</v>
      </c>
      <c r="G265">
        <f t="shared" si="35"/>
        <v>2.1288000000000001E-2</v>
      </c>
    </row>
    <row r="266" spans="1:7" x14ac:dyDescent="0.3">
      <c r="A266" s="30" t="s">
        <v>562</v>
      </c>
      <c r="B266" s="3">
        <v>4853</v>
      </c>
      <c r="C266" s="3">
        <v>837</v>
      </c>
      <c r="D266" s="3">
        <v>340</v>
      </c>
      <c r="F266">
        <v>150000</v>
      </c>
      <c r="G266">
        <f t="shared" si="35"/>
        <v>4.02E-2</v>
      </c>
    </row>
    <row r="267" spans="1:7" hidden="1" x14ac:dyDescent="0.3">
      <c r="A267" s="30"/>
      <c r="B267" s="3">
        <v>1206</v>
      </c>
      <c r="C267" s="3">
        <v>238</v>
      </c>
      <c r="D267" s="3">
        <v>36</v>
      </c>
      <c r="F267" t="b">
        <v>0</v>
      </c>
    </row>
    <row r="268" spans="1:7" x14ac:dyDescent="0.3">
      <c r="A268" s="30" t="s">
        <v>563</v>
      </c>
      <c r="B268" s="3">
        <v>2603</v>
      </c>
      <c r="C268" s="3">
        <v>690</v>
      </c>
      <c r="D268" s="3">
        <v>205</v>
      </c>
      <c r="F268">
        <v>200000</v>
      </c>
      <c r="G268">
        <f t="shared" ref="G268:G271" si="36">(B268+C268+D268)/F268</f>
        <v>1.7489999999999999E-2</v>
      </c>
    </row>
    <row r="269" spans="1:7" x14ac:dyDescent="0.3">
      <c r="A269" s="30" t="s">
        <v>563</v>
      </c>
      <c r="B269" s="3">
        <v>59</v>
      </c>
      <c r="C269" s="3">
        <v>163</v>
      </c>
      <c r="D269" s="3">
        <v>93</v>
      </c>
      <c r="F269">
        <v>200000</v>
      </c>
      <c r="G269">
        <f t="shared" si="36"/>
        <v>1.575E-3</v>
      </c>
    </row>
    <row r="270" spans="1:7" x14ac:dyDescent="0.3">
      <c r="A270" s="30" t="s">
        <v>565</v>
      </c>
      <c r="B270" s="3">
        <v>1877</v>
      </c>
      <c r="C270" s="3">
        <v>745</v>
      </c>
      <c r="D270" s="3">
        <v>225</v>
      </c>
      <c r="F270">
        <v>180000</v>
      </c>
      <c r="G270">
        <f t="shared" si="36"/>
        <v>1.5816666666666666E-2</v>
      </c>
    </row>
    <row r="271" spans="1:7" x14ac:dyDescent="0.3">
      <c r="A271" s="30" t="s">
        <v>564</v>
      </c>
      <c r="B271" s="3">
        <v>4182</v>
      </c>
      <c r="C271" s="3">
        <v>640</v>
      </c>
      <c r="D271" s="3">
        <v>240</v>
      </c>
      <c r="F271">
        <v>250000</v>
      </c>
      <c r="G271">
        <f t="shared" si="36"/>
        <v>2.0247999999999999E-2</v>
      </c>
    </row>
    <row r="272" spans="1:7" hidden="1" x14ac:dyDescent="0.3">
      <c r="A272" s="30"/>
      <c r="B272" s="3">
        <v>4187</v>
      </c>
      <c r="C272" s="3">
        <v>66</v>
      </c>
      <c r="D272" s="3">
        <v>31</v>
      </c>
      <c r="F272" t="b">
        <v>0</v>
      </c>
    </row>
    <row r="273" spans="1:7" x14ac:dyDescent="0.3">
      <c r="A273" s="30" t="s">
        <v>562</v>
      </c>
      <c r="B273" s="3">
        <v>4579</v>
      </c>
      <c r="C273" s="3">
        <v>125</v>
      </c>
      <c r="D273" s="3">
        <v>300</v>
      </c>
      <c r="F273">
        <v>150000</v>
      </c>
      <c r="G273">
        <f t="shared" ref="G273:G289" si="37">(B273+C273+D273)/F273</f>
        <v>3.3360000000000001E-2</v>
      </c>
    </row>
    <row r="274" spans="1:7" x14ac:dyDescent="0.3">
      <c r="A274" s="30" t="s">
        <v>563</v>
      </c>
      <c r="B274" s="3">
        <v>4561</v>
      </c>
      <c r="C274" s="3">
        <v>51</v>
      </c>
      <c r="D274" s="3">
        <v>441</v>
      </c>
      <c r="F274">
        <v>200000</v>
      </c>
      <c r="G274">
        <f t="shared" si="37"/>
        <v>2.5264999999999999E-2</v>
      </c>
    </row>
    <row r="275" spans="1:7" x14ac:dyDescent="0.3">
      <c r="A275" s="30" t="s">
        <v>564</v>
      </c>
      <c r="B275" s="3">
        <v>3774</v>
      </c>
      <c r="C275" s="3">
        <v>239</v>
      </c>
      <c r="D275" s="3">
        <v>39</v>
      </c>
      <c r="F275">
        <v>250000</v>
      </c>
      <c r="G275">
        <f t="shared" si="37"/>
        <v>1.6208E-2</v>
      </c>
    </row>
    <row r="276" spans="1:7" x14ac:dyDescent="0.3">
      <c r="A276" s="30" t="s">
        <v>563</v>
      </c>
      <c r="B276" s="3">
        <v>3575</v>
      </c>
      <c r="C276" s="3">
        <v>749</v>
      </c>
      <c r="D276" s="3">
        <v>111</v>
      </c>
      <c r="F276">
        <v>200000</v>
      </c>
      <c r="G276">
        <f t="shared" si="37"/>
        <v>2.2175E-2</v>
      </c>
    </row>
    <row r="277" spans="1:7" x14ac:dyDescent="0.3">
      <c r="A277" s="30" t="s">
        <v>564</v>
      </c>
      <c r="B277" s="3">
        <v>4941</v>
      </c>
      <c r="C277" s="3">
        <v>414</v>
      </c>
      <c r="D277" s="3">
        <v>266</v>
      </c>
      <c r="F277">
        <v>250000</v>
      </c>
      <c r="G277">
        <f t="shared" si="37"/>
        <v>2.2484000000000001E-2</v>
      </c>
    </row>
    <row r="278" spans="1:7" x14ac:dyDescent="0.3">
      <c r="A278" s="30" t="s">
        <v>565</v>
      </c>
      <c r="B278" s="3">
        <v>3641</v>
      </c>
      <c r="C278" s="3">
        <v>226</v>
      </c>
      <c r="D278" s="3">
        <v>46</v>
      </c>
      <c r="F278">
        <v>180000</v>
      </c>
      <c r="G278">
        <f t="shared" si="37"/>
        <v>2.1738888888888887E-2</v>
      </c>
    </row>
    <row r="279" spans="1:7" x14ac:dyDescent="0.3">
      <c r="A279" s="30" t="s">
        <v>565</v>
      </c>
      <c r="B279" s="3">
        <v>3535</v>
      </c>
      <c r="C279" s="3">
        <v>494</v>
      </c>
      <c r="D279" s="3">
        <v>152</v>
      </c>
      <c r="F279">
        <v>180000</v>
      </c>
      <c r="G279">
        <f t="shared" si="37"/>
        <v>2.3227777777777778E-2</v>
      </c>
    </row>
    <row r="280" spans="1:7" x14ac:dyDescent="0.3">
      <c r="A280" s="30" t="s">
        <v>564</v>
      </c>
      <c r="B280" s="3">
        <v>1741</v>
      </c>
      <c r="C280" s="3">
        <v>831</v>
      </c>
      <c r="D280" s="3">
        <v>345</v>
      </c>
      <c r="F280">
        <v>250000</v>
      </c>
      <c r="G280">
        <f t="shared" si="37"/>
        <v>1.1668E-2</v>
      </c>
    </row>
    <row r="281" spans="1:7" x14ac:dyDescent="0.3">
      <c r="A281" s="30" t="s">
        <v>563</v>
      </c>
      <c r="B281" s="3">
        <v>1556</v>
      </c>
      <c r="C281" s="3">
        <v>195</v>
      </c>
      <c r="D281" s="3">
        <v>131</v>
      </c>
      <c r="F281">
        <v>200000</v>
      </c>
      <c r="G281">
        <f t="shared" si="37"/>
        <v>9.41E-3</v>
      </c>
    </row>
    <row r="282" spans="1:7" x14ac:dyDescent="0.3">
      <c r="A282" s="30" t="s">
        <v>562</v>
      </c>
      <c r="B282" s="3">
        <v>4236</v>
      </c>
      <c r="C282" s="3">
        <v>711</v>
      </c>
      <c r="D282" s="3">
        <v>298</v>
      </c>
      <c r="F282">
        <v>150000</v>
      </c>
      <c r="G282">
        <f t="shared" si="37"/>
        <v>3.4966666666666667E-2</v>
      </c>
    </row>
    <row r="283" spans="1:7" x14ac:dyDescent="0.3">
      <c r="A283" s="30" t="s">
        <v>565</v>
      </c>
      <c r="B283" s="3">
        <v>4516</v>
      </c>
      <c r="C283" s="3">
        <v>836</v>
      </c>
      <c r="D283" s="3">
        <v>169</v>
      </c>
      <c r="F283">
        <v>180000</v>
      </c>
      <c r="G283">
        <f t="shared" si="37"/>
        <v>3.0672222222222222E-2</v>
      </c>
    </row>
    <row r="284" spans="1:7" x14ac:dyDescent="0.3">
      <c r="A284" s="30" t="s">
        <v>563</v>
      </c>
      <c r="B284" s="3">
        <v>4905</v>
      </c>
      <c r="C284" s="3">
        <v>845</v>
      </c>
      <c r="D284" s="3">
        <v>129</v>
      </c>
      <c r="F284">
        <v>200000</v>
      </c>
      <c r="G284">
        <f t="shared" si="37"/>
        <v>2.9395000000000001E-2</v>
      </c>
    </row>
    <row r="285" spans="1:7" x14ac:dyDescent="0.3">
      <c r="A285" s="30" t="s">
        <v>565</v>
      </c>
      <c r="B285" s="3">
        <v>4275</v>
      </c>
      <c r="C285" s="3">
        <v>680</v>
      </c>
      <c r="D285" s="3">
        <v>385</v>
      </c>
      <c r="F285">
        <v>180000</v>
      </c>
      <c r="G285">
        <f t="shared" si="37"/>
        <v>2.9666666666666668E-2</v>
      </c>
    </row>
    <row r="286" spans="1:7" x14ac:dyDescent="0.3">
      <c r="A286" s="30" t="s">
        <v>563</v>
      </c>
      <c r="B286" s="3">
        <v>3166</v>
      </c>
      <c r="C286" s="3">
        <v>90</v>
      </c>
      <c r="D286" s="3">
        <v>341</v>
      </c>
      <c r="F286">
        <v>200000</v>
      </c>
      <c r="G286">
        <f t="shared" si="37"/>
        <v>1.7985000000000001E-2</v>
      </c>
    </row>
    <row r="287" spans="1:7" x14ac:dyDescent="0.3">
      <c r="A287" s="30" t="s">
        <v>564</v>
      </c>
      <c r="B287" s="3">
        <v>1488</v>
      </c>
      <c r="C287" s="3">
        <v>417</v>
      </c>
      <c r="D287" s="3">
        <v>168</v>
      </c>
      <c r="F287">
        <v>250000</v>
      </c>
      <c r="G287">
        <f t="shared" si="37"/>
        <v>8.2920000000000008E-3</v>
      </c>
    </row>
    <row r="288" spans="1:7" x14ac:dyDescent="0.3">
      <c r="A288" s="30" t="s">
        <v>563</v>
      </c>
      <c r="B288" s="3">
        <v>3367</v>
      </c>
      <c r="C288" s="3">
        <v>302</v>
      </c>
      <c r="D288" s="3">
        <v>57</v>
      </c>
      <c r="F288">
        <v>200000</v>
      </c>
      <c r="G288">
        <f t="shared" si="37"/>
        <v>1.8630000000000001E-2</v>
      </c>
    </row>
    <row r="289" spans="1:7" x14ac:dyDescent="0.3">
      <c r="A289" s="30" t="s">
        <v>565</v>
      </c>
      <c r="B289" s="3">
        <v>571</v>
      </c>
      <c r="C289" s="3">
        <v>190</v>
      </c>
      <c r="D289" s="3">
        <v>352</v>
      </c>
      <c r="F289">
        <v>180000</v>
      </c>
      <c r="G289">
        <f t="shared" si="37"/>
        <v>6.1833333333333332E-3</v>
      </c>
    </row>
    <row r="290" spans="1:7" hidden="1" x14ac:dyDescent="0.3">
      <c r="A290" s="30"/>
      <c r="B290" s="3">
        <v>4021</v>
      </c>
      <c r="C290" s="3">
        <v>794</v>
      </c>
      <c r="D290" s="3">
        <v>77</v>
      </c>
      <c r="F290" t="b">
        <v>0</v>
      </c>
    </row>
    <row r="291" spans="1:7" x14ac:dyDescent="0.3">
      <c r="A291" s="30" t="s">
        <v>564</v>
      </c>
      <c r="B291" s="3">
        <v>3389</v>
      </c>
      <c r="C291" s="3">
        <v>344</v>
      </c>
      <c r="D291" s="3">
        <v>229</v>
      </c>
      <c r="F291">
        <v>250000</v>
      </c>
      <c r="G291">
        <f t="shared" ref="G291:G293" si="38">(B291+C291+D291)/F291</f>
        <v>1.5848000000000001E-2</v>
      </c>
    </row>
    <row r="292" spans="1:7" x14ac:dyDescent="0.3">
      <c r="A292" s="30" t="s">
        <v>562</v>
      </c>
      <c r="B292" s="3">
        <v>1164</v>
      </c>
      <c r="C292" s="3">
        <v>616</v>
      </c>
      <c r="D292" s="3">
        <v>324</v>
      </c>
      <c r="F292">
        <v>150000</v>
      </c>
      <c r="G292">
        <f t="shared" si="38"/>
        <v>1.4026666666666666E-2</v>
      </c>
    </row>
    <row r="293" spans="1:7" x14ac:dyDescent="0.3">
      <c r="A293" s="30" t="s">
        <v>564</v>
      </c>
      <c r="B293" s="3">
        <v>4780</v>
      </c>
      <c r="C293" s="3">
        <v>691</v>
      </c>
      <c r="D293" s="3">
        <v>380</v>
      </c>
      <c r="F293">
        <v>250000</v>
      </c>
      <c r="G293">
        <f t="shared" si="38"/>
        <v>2.3404000000000001E-2</v>
      </c>
    </row>
    <row r="294" spans="1:7" hidden="1" x14ac:dyDescent="0.3">
      <c r="A294" s="30"/>
      <c r="B294" s="3">
        <v>2751</v>
      </c>
      <c r="C294" s="3">
        <v>33</v>
      </c>
      <c r="D294" s="3">
        <v>430</v>
      </c>
      <c r="F294" t="b">
        <v>0</v>
      </c>
    </row>
    <row r="295" spans="1:7" x14ac:dyDescent="0.3">
      <c r="A295" s="30" t="s">
        <v>565</v>
      </c>
      <c r="B295" s="3">
        <v>2107</v>
      </c>
      <c r="C295" s="3">
        <v>550</v>
      </c>
      <c r="D295" s="3">
        <v>349</v>
      </c>
      <c r="F295">
        <v>180000</v>
      </c>
      <c r="G295">
        <f t="shared" ref="G295:G296" si="39">(B295+C295+D295)/F295</f>
        <v>1.67E-2</v>
      </c>
    </row>
    <row r="296" spans="1:7" x14ac:dyDescent="0.3">
      <c r="A296" s="30" t="s">
        <v>565</v>
      </c>
      <c r="B296" s="3">
        <v>4663</v>
      </c>
      <c r="C296" s="3">
        <v>145</v>
      </c>
      <c r="D296" s="3">
        <v>225</v>
      </c>
      <c r="F296">
        <v>180000</v>
      </c>
      <c r="G296">
        <f t="shared" si="39"/>
        <v>2.796111111111111E-2</v>
      </c>
    </row>
    <row r="297" spans="1:7" hidden="1" x14ac:dyDescent="0.3">
      <c r="A297" s="30"/>
      <c r="B297" s="3">
        <v>880</v>
      </c>
      <c r="C297" s="3">
        <v>297</v>
      </c>
      <c r="D297" s="3">
        <v>345</v>
      </c>
      <c r="F297" t="b">
        <v>0</v>
      </c>
    </row>
    <row r="298" spans="1:7" x14ac:dyDescent="0.3">
      <c r="A298" s="30" t="s">
        <v>562</v>
      </c>
      <c r="B298" s="3">
        <v>2634</v>
      </c>
      <c r="C298" s="3">
        <v>726</v>
      </c>
      <c r="D298" s="3">
        <v>241</v>
      </c>
      <c r="F298">
        <v>150000</v>
      </c>
      <c r="G298">
        <f t="shared" ref="G298:G305" si="40">(B298+C298+D298)/F298</f>
        <v>2.4006666666666666E-2</v>
      </c>
    </row>
    <row r="299" spans="1:7" x14ac:dyDescent="0.3">
      <c r="A299" s="30" t="s">
        <v>564</v>
      </c>
      <c r="B299" s="3">
        <v>4731</v>
      </c>
      <c r="C299" s="3">
        <v>173</v>
      </c>
      <c r="D299" s="3">
        <v>276</v>
      </c>
      <c r="F299">
        <v>250000</v>
      </c>
      <c r="G299">
        <f t="shared" si="40"/>
        <v>2.0719999999999999E-2</v>
      </c>
    </row>
    <row r="300" spans="1:7" x14ac:dyDescent="0.3">
      <c r="A300" s="30" t="s">
        <v>563</v>
      </c>
      <c r="B300" s="3">
        <v>1952</v>
      </c>
      <c r="C300" s="3">
        <v>344</v>
      </c>
      <c r="D300" s="3">
        <v>287</v>
      </c>
      <c r="F300">
        <v>200000</v>
      </c>
      <c r="G300">
        <f t="shared" si="40"/>
        <v>1.2914999999999999E-2</v>
      </c>
    </row>
    <row r="301" spans="1:7" x14ac:dyDescent="0.3">
      <c r="A301" s="30" t="s">
        <v>565</v>
      </c>
      <c r="B301" s="3">
        <v>3440</v>
      </c>
      <c r="C301" s="3">
        <v>13</v>
      </c>
      <c r="D301" s="3">
        <v>20</v>
      </c>
      <c r="F301">
        <v>180000</v>
      </c>
      <c r="G301">
        <f t="shared" si="40"/>
        <v>1.9294444444444444E-2</v>
      </c>
    </row>
    <row r="302" spans="1:7" x14ac:dyDescent="0.3">
      <c r="A302" s="30" t="s">
        <v>565</v>
      </c>
      <c r="B302" s="3">
        <v>2166</v>
      </c>
      <c r="C302" s="3">
        <v>354</v>
      </c>
      <c r="D302" s="3">
        <v>117</v>
      </c>
      <c r="F302">
        <v>180000</v>
      </c>
      <c r="G302">
        <f t="shared" si="40"/>
        <v>1.465E-2</v>
      </c>
    </row>
    <row r="303" spans="1:7" x14ac:dyDescent="0.3">
      <c r="A303" s="30" t="s">
        <v>564</v>
      </c>
      <c r="B303" s="3">
        <v>4303</v>
      </c>
      <c r="C303" s="3">
        <v>451</v>
      </c>
      <c r="D303" s="3">
        <v>286</v>
      </c>
      <c r="F303">
        <v>250000</v>
      </c>
      <c r="G303">
        <f t="shared" si="40"/>
        <v>2.0160000000000001E-2</v>
      </c>
    </row>
    <row r="304" spans="1:7" x14ac:dyDescent="0.3">
      <c r="A304" s="30" t="s">
        <v>564</v>
      </c>
      <c r="B304" s="3">
        <v>2581</v>
      </c>
      <c r="C304" s="3">
        <v>517</v>
      </c>
      <c r="D304" s="3">
        <v>117</v>
      </c>
      <c r="F304">
        <v>250000</v>
      </c>
      <c r="G304">
        <f t="shared" si="40"/>
        <v>1.286E-2</v>
      </c>
    </row>
    <row r="305" spans="1:7" x14ac:dyDescent="0.3">
      <c r="A305" s="30" t="s">
        <v>562</v>
      </c>
      <c r="B305" s="3">
        <v>4494</v>
      </c>
      <c r="C305" s="3">
        <v>717</v>
      </c>
      <c r="D305" s="3">
        <v>45</v>
      </c>
      <c r="F305">
        <v>150000</v>
      </c>
      <c r="G305">
        <f t="shared" si="40"/>
        <v>3.5040000000000002E-2</v>
      </c>
    </row>
  </sheetData>
  <autoFilter ref="A5:A305" xr:uid="{34C98929-4D98-41FA-BBB2-1F8A80805D26}">
    <filterColumn colId="0">
      <customFilters>
        <customFilter operator="notEqual" val=" "/>
      </customFilters>
    </filterColumn>
  </autoFilter>
  <dataValidations count="1">
    <dataValidation allowBlank="1" showInputMessage="1" showErrorMessage="1" prompt="ROI=(Likes+Shares+Comments)/Budget" sqref="G5:G305" xr:uid="{E86F361D-99C4-47C2-A6BF-B0C5D9DDCF9D}"/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16B62-618E-4F37-B791-E2272AD6BDD7}">
  <sheetPr filterMode="1"/>
  <dimension ref="A2:I305"/>
  <sheetViews>
    <sheetView topLeftCell="A4" workbookViewId="0">
      <selection activeCell="I17" sqref="I17"/>
    </sheetView>
  </sheetViews>
  <sheetFormatPr defaultRowHeight="14.4" x14ac:dyDescent="0.3"/>
  <cols>
    <col min="1" max="1" width="18.6640625" customWidth="1"/>
    <col min="2" max="2" width="12.33203125" customWidth="1"/>
    <col min="3" max="3" width="14.5546875" customWidth="1"/>
    <col min="5" max="5" width="14.77734375" bestFit="1" customWidth="1"/>
    <col min="6" max="6" width="20.77734375" bestFit="1" customWidth="1"/>
    <col min="8" max="8" width="14.77734375" bestFit="1" customWidth="1"/>
    <col min="9" max="9" width="19" bestFit="1" customWidth="1"/>
  </cols>
  <sheetData>
    <row r="2" spans="1:9" ht="18" x14ac:dyDescent="0.35">
      <c r="C2" s="1" t="s">
        <v>599</v>
      </c>
    </row>
    <row r="5" spans="1:9" ht="18.600000000000001" customHeight="1" x14ac:dyDescent="0.3">
      <c r="A5" s="8" t="s">
        <v>561</v>
      </c>
      <c r="B5" s="8" t="s">
        <v>301</v>
      </c>
      <c r="C5" s="8" t="s">
        <v>548</v>
      </c>
      <c r="D5" s="6" t="s">
        <v>549</v>
      </c>
      <c r="E5" s="8" t="s">
        <v>591</v>
      </c>
      <c r="F5" s="33" t="s">
        <v>592</v>
      </c>
    </row>
    <row r="6" spans="1:9" x14ac:dyDescent="0.3">
      <c r="A6" s="30" t="s">
        <v>562</v>
      </c>
      <c r="B6" s="7" t="s">
        <v>311</v>
      </c>
      <c r="C6" s="30">
        <v>1135</v>
      </c>
      <c r="D6" s="30">
        <v>88</v>
      </c>
      <c r="E6" s="30">
        <v>344084</v>
      </c>
      <c r="F6" s="36">
        <f>C6-D6</f>
        <v>1047</v>
      </c>
    </row>
    <row r="7" spans="1:9" x14ac:dyDescent="0.3">
      <c r="A7" s="30" t="s">
        <v>563</v>
      </c>
      <c r="B7" s="7" t="s">
        <v>311</v>
      </c>
      <c r="C7" s="30">
        <v>1312</v>
      </c>
      <c r="D7" s="30">
        <v>310</v>
      </c>
      <c r="E7" s="30">
        <v>42654</v>
      </c>
      <c r="F7" s="36">
        <f t="shared" ref="F7:F18" si="0">C7-D7</f>
        <v>1002</v>
      </c>
    </row>
    <row r="8" spans="1:9" x14ac:dyDescent="0.3">
      <c r="A8" s="30" t="s">
        <v>564</v>
      </c>
      <c r="B8" s="7" t="s">
        <v>316</v>
      </c>
      <c r="C8" s="30">
        <v>584</v>
      </c>
      <c r="D8" s="30">
        <v>169</v>
      </c>
      <c r="E8" s="30">
        <v>146834</v>
      </c>
      <c r="F8" s="36">
        <f t="shared" si="0"/>
        <v>415</v>
      </c>
      <c r="H8" s="11" t="s">
        <v>533</v>
      </c>
      <c r="I8" t="s">
        <v>593</v>
      </c>
    </row>
    <row r="9" spans="1:9" x14ac:dyDescent="0.3">
      <c r="A9" s="30" t="s">
        <v>565</v>
      </c>
      <c r="B9" s="7" t="s">
        <v>319</v>
      </c>
      <c r="C9" s="30">
        <v>1535</v>
      </c>
      <c r="D9" s="30">
        <v>445</v>
      </c>
      <c r="E9" s="30">
        <v>395536</v>
      </c>
      <c r="F9" s="36">
        <f t="shared" si="0"/>
        <v>1090</v>
      </c>
      <c r="H9" s="12" t="s">
        <v>565</v>
      </c>
      <c r="I9">
        <v>43943</v>
      </c>
    </row>
    <row r="10" spans="1:9" x14ac:dyDescent="0.3">
      <c r="A10" s="30" t="s">
        <v>562</v>
      </c>
      <c r="B10" s="7" t="s">
        <v>316</v>
      </c>
      <c r="C10" s="30">
        <v>656</v>
      </c>
      <c r="D10" s="30">
        <v>139</v>
      </c>
      <c r="E10" s="30">
        <v>49157</v>
      </c>
      <c r="F10" s="36">
        <f t="shared" si="0"/>
        <v>517</v>
      </c>
      <c r="H10" s="12" t="s">
        <v>563</v>
      </c>
      <c r="I10">
        <v>31080</v>
      </c>
    </row>
    <row r="11" spans="1:9" x14ac:dyDescent="0.3">
      <c r="A11" s="30" t="s">
        <v>563</v>
      </c>
      <c r="B11" s="7" t="s">
        <v>324</v>
      </c>
      <c r="C11" s="30">
        <v>1697</v>
      </c>
      <c r="D11" s="30">
        <v>414</v>
      </c>
      <c r="E11" s="30">
        <v>316555</v>
      </c>
      <c r="F11" s="36">
        <f t="shared" si="0"/>
        <v>1283</v>
      </c>
      <c r="H11" s="12" t="s">
        <v>564</v>
      </c>
      <c r="I11">
        <v>28962</v>
      </c>
    </row>
    <row r="12" spans="1:9" x14ac:dyDescent="0.3">
      <c r="A12" s="30" t="s">
        <v>563</v>
      </c>
      <c r="B12" s="7" t="s">
        <v>311</v>
      </c>
      <c r="C12" s="30">
        <v>436</v>
      </c>
      <c r="D12" s="30">
        <v>250</v>
      </c>
      <c r="E12" s="30">
        <v>254347</v>
      </c>
      <c r="F12" s="36">
        <f t="shared" si="0"/>
        <v>186</v>
      </c>
      <c r="H12" s="12" t="s">
        <v>562</v>
      </c>
      <c r="I12">
        <v>25025</v>
      </c>
    </row>
    <row r="13" spans="1:9" x14ac:dyDescent="0.3">
      <c r="A13" s="30" t="s">
        <v>565</v>
      </c>
      <c r="B13" s="7" t="s">
        <v>316</v>
      </c>
      <c r="C13" s="30">
        <v>1197</v>
      </c>
      <c r="D13" s="30">
        <v>203</v>
      </c>
      <c r="E13" s="30">
        <v>413878</v>
      </c>
      <c r="F13" s="36">
        <f t="shared" si="0"/>
        <v>994</v>
      </c>
      <c r="H13" s="12" t="s">
        <v>532</v>
      </c>
      <c r="I13">
        <v>129010</v>
      </c>
    </row>
    <row r="14" spans="1:9" x14ac:dyDescent="0.3">
      <c r="A14" s="30" t="s">
        <v>563</v>
      </c>
      <c r="B14" s="7" t="s">
        <v>324</v>
      </c>
      <c r="C14" s="30">
        <v>1048</v>
      </c>
      <c r="D14" s="30">
        <v>155</v>
      </c>
      <c r="E14" s="30">
        <v>456946</v>
      </c>
      <c r="F14" s="36">
        <f t="shared" si="0"/>
        <v>893</v>
      </c>
    </row>
    <row r="15" spans="1:9" x14ac:dyDescent="0.3">
      <c r="A15" s="30" t="s">
        <v>563</v>
      </c>
      <c r="B15" s="7" t="s">
        <v>324</v>
      </c>
      <c r="C15" s="30">
        <v>1753</v>
      </c>
      <c r="D15" s="30">
        <v>371</v>
      </c>
      <c r="E15" s="30">
        <v>169496</v>
      </c>
      <c r="F15" s="36">
        <f t="shared" si="0"/>
        <v>1382</v>
      </c>
    </row>
    <row r="16" spans="1:9" x14ac:dyDescent="0.3">
      <c r="A16" s="30" t="s">
        <v>565</v>
      </c>
      <c r="B16" s="7" t="s">
        <v>319</v>
      </c>
      <c r="C16" s="30">
        <v>1335</v>
      </c>
      <c r="D16" s="30">
        <v>40</v>
      </c>
      <c r="E16" s="30">
        <v>122732</v>
      </c>
      <c r="F16" s="36">
        <f t="shared" si="0"/>
        <v>1295</v>
      </c>
    </row>
    <row r="17" spans="1:6" x14ac:dyDescent="0.3">
      <c r="A17" s="30" t="s">
        <v>564</v>
      </c>
      <c r="B17" s="7" t="s">
        <v>324</v>
      </c>
      <c r="C17" s="30">
        <v>403</v>
      </c>
      <c r="D17" s="30">
        <v>66</v>
      </c>
      <c r="E17" s="30">
        <v>382851</v>
      </c>
      <c r="F17" s="36">
        <f t="shared" si="0"/>
        <v>337</v>
      </c>
    </row>
    <row r="18" spans="1:6" x14ac:dyDescent="0.3">
      <c r="A18" s="30" t="s">
        <v>562</v>
      </c>
      <c r="B18" s="7" t="s">
        <v>316</v>
      </c>
      <c r="C18" s="30">
        <v>911</v>
      </c>
      <c r="D18" s="30">
        <v>282</v>
      </c>
      <c r="E18" s="30">
        <v>35664</v>
      </c>
      <c r="F18" s="36">
        <f t="shared" si="0"/>
        <v>629</v>
      </c>
    </row>
    <row r="19" spans="1:6" hidden="1" x14ac:dyDescent="0.3">
      <c r="A19" s="30"/>
      <c r="B19" s="7" t="s">
        <v>324</v>
      </c>
      <c r="C19" s="30">
        <v>1779</v>
      </c>
      <c r="D19" s="30">
        <v>109</v>
      </c>
      <c r="E19" s="30">
        <v>26295</v>
      </c>
    </row>
    <row r="20" spans="1:6" x14ac:dyDescent="0.3">
      <c r="A20" s="30" t="s">
        <v>562</v>
      </c>
      <c r="B20" s="7" t="s">
        <v>324</v>
      </c>
      <c r="C20" s="30">
        <v>1238</v>
      </c>
      <c r="D20" s="30">
        <v>403</v>
      </c>
      <c r="E20" s="30">
        <v>298421</v>
      </c>
      <c r="F20" s="36">
        <f t="shared" ref="F20:F29" si="1">C20-D20</f>
        <v>835</v>
      </c>
    </row>
    <row r="21" spans="1:6" x14ac:dyDescent="0.3">
      <c r="A21" s="30" t="s">
        <v>564</v>
      </c>
      <c r="B21" s="7" t="s">
        <v>324</v>
      </c>
      <c r="C21" s="30">
        <v>308</v>
      </c>
      <c r="D21" s="30">
        <v>431</v>
      </c>
      <c r="E21" s="30">
        <v>426184</v>
      </c>
      <c r="F21" s="36">
        <f t="shared" si="1"/>
        <v>-123</v>
      </c>
    </row>
    <row r="22" spans="1:6" x14ac:dyDescent="0.3">
      <c r="A22" s="30" t="s">
        <v>565</v>
      </c>
      <c r="B22" s="7" t="s">
        <v>324</v>
      </c>
      <c r="C22" s="30">
        <v>226</v>
      </c>
      <c r="D22" s="30">
        <v>445</v>
      </c>
      <c r="E22" s="30">
        <v>419447</v>
      </c>
      <c r="F22" s="36">
        <f t="shared" si="1"/>
        <v>-219</v>
      </c>
    </row>
    <row r="23" spans="1:6" x14ac:dyDescent="0.3">
      <c r="A23" s="30" t="s">
        <v>562</v>
      </c>
      <c r="B23" s="7" t="s">
        <v>319</v>
      </c>
      <c r="C23" s="30">
        <v>505</v>
      </c>
      <c r="D23" s="30">
        <v>441</v>
      </c>
      <c r="E23" s="30">
        <v>220020</v>
      </c>
      <c r="F23" s="36">
        <f t="shared" si="1"/>
        <v>64</v>
      </c>
    </row>
    <row r="24" spans="1:6" x14ac:dyDescent="0.3">
      <c r="A24" s="30" t="s">
        <v>565</v>
      </c>
      <c r="B24" s="7" t="s">
        <v>319</v>
      </c>
      <c r="C24" s="30">
        <v>1420</v>
      </c>
      <c r="D24" s="30">
        <v>63</v>
      </c>
      <c r="E24" s="30">
        <v>315305</v>
      </c>
      <c r="F24" s="36">
        <f t="shared" si="1"/>
        <v>1357</v>
      </c>
    </row>
    <row r="25" spans="1:6" x14ac:dyDescent="0.3">
      <c r="A25" s="30" t="s">
        <v>562</v>
      </c>
      <c r="B25" s="7" t="s">
        <v>319</v>
      </c>
      <c r="C25" s="30">
        <v>144</v>
      </c>
      <c r="D25" s="30">
        <v>53</v>
      </c>
      <c r="E25" s="30">
        <v>113678</v>
      </c>
      <c r="F25" s="36">
        <f t="shared" si="1"/>
        <v>91</v>
      </c>
    </row>
    <row r="26" spans="1:6" x14ac:dyDescent="0.3">
      <c r="A26" s="30" t="s">
        <v>565</v>
      </c>
      <c r="B26" s="7" t="s">
        <v>319</v>
      </c>
      <c r="C26" s="30">
        <v>1757</v>
      </c>
      <c r="D26" s="30">
        <v>85</v>
      </c>
      <c r="E26" s="30">
        <v>58223</v>
      </c>
      <c r="F26" s="36">
        <f t="shared" si="1"/>
        <v>1672</v>
      </c>
    </row>
    <row r="27" spans="1:6" x14ac:dyDescent="0.3">
      <c r="A27" s="30" t="s">
        <v>565</v>
      </c>
      <c r="B27" s="7" t="s">
        <v>324</v>
      </c>
      <c r="C27" s="30">
        <v>350</v>
      </c>
      <c r="D27" s="30">
        <v>41</v>
      </c>
      <c r="E27" s="30">
        <v>251694</v>
      </c>
      <c r="F27" s="36">
        <f t="shared" si="1"/>
        <v>309</v>
      </c>
    </row>
    <row r="28" spans="1:6" x14ac:dyDescent="0.3">
      <c r="A28" s="30" t="s">
        <v>563</v>
      </c>
      <c r="B28" s="7" t="s">
        <v>324</v>
      </c>
      <c r="C28" s="30">
        <v>987</v>
      </c>
      <c r="D28" s="30">
        <v>440</v>
      </c>
      <c r="E28" s="30">
        <v>389810</v>
      </c>
      <c r="F28" s="36">
        <f t="shared" si="1"/>
        <v>547</v>
      </c>
    </row>
    <row r="29" spans="1:6" x14ac:dyDescent="0.3">
      <c r="A29" s="30" t="s">
        <v>564</v>
      </c>
      <c r="B29" s="7" t="s">
        <v>324</v>
      </c>
      <c r="C29" s="30">
        <v>883</v>
      </c>
      <c r="D29" s="30">
        <v>369</v>
      </c>
      <c r="E29" s="30">
        <v>233694</v>
      </c>
      <c r="F29" s="36">
        <f t="shared" si="1"/>
        <v>514</v>
      </c>
    </row>
    <row r="30" spans="1:6" hidden="1" x14ac:dyDescent="0.3">
      <c r="A30" s="30"/>
      <c r="B30" s="7" t="s">
        <v>311</v>
      </c>
      <c r="C30" s="30">
        <v>1960</v>
      </c>
      <c r="D30" s="30">
        <v>115</v>
      </c>
      <c r="E30" s="30">
        <v>154169</v>
      </c>
    </row>
    <row r="31" spans="1:6" x14ac:dyDescent="0.3">
      <c r="A31" s="30" t="s">
        <v>563</v>
      </c>
      <c r="B31" s="7" t="s">
        <v>316</v>
      </c>
      <c r="C31" s="30">
        <v>170</v>
      </c>
      <c r="D31" s="30">
        <v>334</v>
      </c>
      <c r="E31" s="30">
        <v>334626</v>
      </c>
      <c r="F31" s="36">
        <f t="shared" ref="F31:F34" si="2">C31-D31</f>
        <v>-164</v>
      </c>
    </row>
    <row r="32" spans="1:6" x14ac:dyDescent="0.3">
      <c r="A32" s="30" t="s">
        <v>565</v>
      </c>
      <c r="B32" s="7" t="s">
        <v>316</v>
      </c>
      <c r="C32" s="30">
        <v>704</v>
      </c>
      <c r="D32" s="30">
        <v>275</v>
      </c>
      <c r="E32" s="30">
        <v>226002</v>
      </c>
      <c r="F32" s="36">
        <f t="shared" si="2"/>
        <v>429</v>
      </c>
    </row>
    <row r="33" spans="1:6" x14ac:dyDescent="0.3">
      <c r="A33" s="30" t="s">
        <v>565</v>
      </c>
      <c r="B33" s="7" t="s">
        <v>319</v>
      </c>
      <c r="C33" s="30">
        <v>224</v>
      </c>
      <c r="D33" s="30">
        <v>64</v>
      </c>
      <c r="E33" s="30">
        <v>156683</v>
      </c>
      <c r="F33" s="36">
        <f t="shared" si="2"/>
        <v>160</v>
      </c>
    </row>
    <row r="34" spans="1:6" x14ac:dyDescent="0.3">
      <c r="A34" s="30" t="s">
        <v>564</v>
      </c>
      <c r="B34" s="7" t="s">
        <v>319</v>
      </c>
      <c r="C34" s="30">
        <v>508</v>
      </c>
      <c r="D34" s="30">
        <v>349</v>
      </c>
      <c r="E34" s="30">
        <v>473812</v>
      </c>
      <c r="F34" s="36">
        <f t="shared" si="2"/>
        <v>159</v>
      </c>
    </row>
    <row r="35" spans="1:6" hidden="1" x14ac:dyDescent="0.3">
      <c r="A35" s="30"/>
      <c r="B35" s="7" t="s">
        <v>319</v>
      </c>
      <c r="C35" s="30">
        <v>1391</v>
      </c>
      <c r="D35" s="30">
        <v>430</v>
      </c>
      <c r="E35" s="30">
        <v>295032</v>
      </c>
    </row>
    <row r="36" spans="1:6" x14ac:dyDescent="0.3">
      <c r="A36" s="30" t="s">
        <v>563</v>
      </c>
      <c r="B36" s="7" t="s">
        <v>319</v>
      </c>
      <c r="C36" s="30">
        <v>1701</v>
      </c>
      <c r="D36" s="30">
        <v>385</v>
      </c>
      <c r="E36" s="30">
        <v>198278</v>
      </c>
      <c r="F36" s="36">
        <f t="shared" ref="F36:F43" si="3">C36-D36</f>
        <v>1316</v>
      </c>
    </row>
    <row r="37" spans="1:6" x14ac:dyDescent="0.3">
      <c r="A37" s="30" t="s">
        <v>562</v>
      </c>
      <c r="B37" s="7" t="s">
        <v>311</v>
      </c>
      <c r="C37" s="30">
        <v>804</v>
      </c>
      <c r="D37" s="30">
        <v>487</v>
      </c>
      <c r="E37" s="30">
        <v>306564</v>
      </c>
      <c r="F37" s="36">
        <f t="shared" si="3"/>
        <v>317</v>
      </c>
    </row>
    <row r="38" spans="1:6" x14ac:dyDescent="0.3">
      <c r="A38" s="30" t="s">
        <v>562</v>
      </c>
      <c r="B38" s="7" t="s">
        <v>324</v>
      </c>
      <c r="C38" s="30">
        <v>653</v>
      </c>
      <c r="D38" s="30">
        <v>112</v>
      </c>
      <c r="E38" s="30">
        <v>23664</v>
      </c>
      <c r="F38" s="36">
        <f t="shared" si="3"/>
        <v>541</v>
      </c>
    </row>
    <row r="39" spans="1:6" x14ac:dyDescent="0.3">
      <c r="A39" s="30" t="s">
        <v>564</v>
      </c>
      <c r="B39" s="7" t="s">
        <v>324</v>
      </c>
      <c r="C39" s="30">
        <v>160</v>
      </c>
      <c r="D39" s="30">
        <v>478</v>
      </c>
      <c r="E39" s="30">
        <v>435034</v>
      </c>
      <c r="F39" s="36">
        <f t="shared" si="3"/>
        <v>-318</v>
      </c>
    </row>
    <row r="40" spans="1:6" x14ac:dyDescent="0.3">
      <c r="A40" s="30" t="s">
        <v>563</v>
      </c>
      <c r="B40" s="7" t="s">
        <v>319</v>
      </c>
      <c r="C40" s="30">
        <v>1756</v>
      </c>
      <c r="D40" s="30">
        <v>261</v>
      </c>
      <c r="E40" s="30">
        <v>287574</v>
      </c>
      <c r="F40" s="36">
        <f t="shared" si="3"/>
        <v>1495</v>
      </c>
    </row>
    <row r="41" spans="1:6" x14ac:dyDescent="0.3">
      <c r="A41" s="30" t="s">
        <v>563</v>
      </c>
      <c r="B41" s="7" t="s">
        <v>319</v>
      </c>
      <c r="C41" s="30">
        <v>576</v>
      </c>
      <c r="D41" s="30">
        <v>101</v>
      </c>
      <c r="E41" s="30">
        <v>62499</v>
      </c>
      <c r="F41" s="36">
        <f t="shared" si="3"/>
        <v>475</v>
      </c>
    </row>
    <row r="42" spans="1:6" x14ac:dyDescent="0.3">
      <c r="A42" s="30" t="s">
        <v>563</v>
      </c>
      <c r="B42" s="7" t="s">
        <v>324</v>
      </c>
      <c r="C42" s="30">
        <v>645</v>
      </c>
      <c r="D42" s="30">
        <v>293</v>
      </c>
      <c r="E42" s="30">
        <v>437968</v>
      </c>
      <c r="F42" s="36">
        <f t="shared" si="3"/>
        <v>352</v>
      </c>
    </row>
    <row r="43" spans="1:6" x14ac:dyDescent="0.3">
      <c r="A43" s="30" t="s">
        <v>565</v>
      </c>
      <c r="B43" s="7" t="s">
        <v>316</v>
      </c>
      <c r="C43" s="30">
        <v>214</v>
      </c>
      <c r="D43" s="30">
        <v>411</v>
      </c>
      <c r="E43" s="30">
        <v>125034</v>
      </c>
      <c r="F43" s="36">
        <f t="shared" si="3"/>
        <v>-197</v>
      </c>
    </row>
    <row r="44" spans="1:6" hidden="1" x14ac:dyDescent="0.3">
      <c r="A44" s="30"/>
      <c r="B44" s="7" t="s">
        <v>324</v>
      </c>
      <c r="C44" s="30">
        <v>826</v>
      </c>
      <c r="D44" s="30">
        <v>498</v>
      </c>
      <c r="E44" s="30">
        <v>449994</v>
      </c>
    </row>
    <row r="45" spans="1:6" x14ac:dyDescent="0.3">
      <c r="A45" s="30" t="s">
        <v>565</v>
      </c>
      <c r="B45" s="7" t="s">
        <v>311</v>
      </c>
      <c r="C45" s="30">
        <v>460</v>
      </c>
      <c r="D45" s="30">
        <v>141</v>
      </c>
      <c r="E45" s="30">
        <v>320650</v>
      </c>
      <c r="F45" s="36">
        <f t="shared" ref="F45:F46" si="4">C45-D45</f>
        <v>319</v>
      </c>
    </row>
    <row r="46" spans="1:6" x14ac:dyDescent="0.3">
      <c r="A46" s="30" t="s">
        <v>565</v>
      </c>
      <c r="B46" s="7" t="s">
        <v>319</v>
      </c>
      <c r="C46" s="30">
        <v>1528</v>
      </c>
      <c r="D46" s="30">
        <v>203</v>
      </c>
      <c r="E46" s="30">
        <v>489188</v>
      </c>
      <c r="F46" s="36">
        <f t="shared" si="4"/>
        <v>1325</v>
      </c>
    </row>
    <row r="47" spans="1:6" hidden="1" x14ac:dyDescent="0.3">
      <c r="A47" s="30"/>
      <c r="B47" s="7" t="s">
        <v>316</v>
      </c>
      <c r="C47" s="30">
        <v>1534</v>
      </c>
      <c r="D47" s="30">
        <v>200</v>
      </c>
      <c r="E47" s="30">
        <v>307612</v>
      </c>
    </row>
    <row r="48" spans="1:6" x14ac:dyDescent="0.3">
      <c r="A48" s="30" t="s">
        <v>564</v>
      </c>
      <c r="B48" s="7" t="s">
        <v>319</v>
      </c>
      <c r="C48" s="30">
        <v>485</v>
      </c>
      <c r="D48" s="30">
        <v>448</v>
      </c>
      <c r="E48" s="30">
        <v>434883</v>
      </c>
      <c r="F48" s="36">
        <f>C48-D48</f>
        <v>37</v>
      </c>
    </row>
    <row r="49" spans="1:6" hidden="1" x14ac:dyDescent="0.3">
      <c r="A49" s="30"/>
      <c r="B49" s="7" t="s">
        <v>311</v>
      </c>
      <c r="C49" s="30">
        <v>1210</v>
      </c>
      <c r="D49" s="30">
        <v>178</v>
      </c>
      <c r="E49" s="30">
        <v>102042</v>
      </c>
    </row>
    <row r="50" spans="1:6" x14ac:dyDescent="0.3">
      <c r="A50" s="30" t="s">
        <v>562</v>
      </c>
      <c r="B50" s="7" t="s">
        <v>324</v>
      </c>
      <c r="C50" s="30">
        <v>215</v>
      </c>
      <c r="D50" s="30">
        <v>139</v>
      </c>
      <c r="E50" s="30">
        <v>325444</v>
      </c>
      <c r="F50" s="36">
        <f t="shared" ref="F50:F51" si="5">C50-D50</f>
        <v>76</v>
      </c>
    </row>
    <row r="51" spans="1:6" x14ac:dyDescent="0.3">
      <c r="A51" s="30" t="s">
        <v>565</v>
      </c>
      <c r="B51" s="7" t="s">
        <v>311</v>
      </c>
      <c r="C51" s="30">
        <v>1078</v>
      </c>
      <c r="D51" s="30">
        <v>20</v>
      </c>
      <c r="E51" s="30">
        <v>183924</v>
      </c>
      <c r="F51" s="36">
        <f t="shared" si="5"/>
        <v>1058</v>
      </c>
    </row>
    <row r="52" spans="1:6" hidden="1" x14ac:dyDescent="0.3">
      <c r="A52" s="30"/>
      <c r="B52" s="7" t="s">
        <v>311</v>
      </c>
      <c r="C52" s="30">
        <v>1751</v>
      </c>
      <c r="D52" s="30">
        <v>86</v>
      </c>
      <c r="E52" s="30">
        <v>188655</v>
      </c>
    </row>
    <row r="53" spans="1:6" hidden="1" x14ac:dyDescent="0.3">
      <c r="A53" s="30"/>
      <c r="B53" s="7" t="s">
        <v>311</v>
      </c>
      <c r="C53" s="30">
        <v>221</v>
      </c>
      <c r="D53" s="30">
        <v>31</v>
      </c>
      <c r="E53" s="30">
        <v>87443</v>
      </c>
    </row>
    <row r="54" spans="1:6" x14ac:dyDescent="0.3">
      <c r="A54" s="30" t="s">
        <v>565</v>
      </c>
      <c r="B54" s="7" t="s">
        <v>311</v>
      </c>
      <c r="C54" s="30">
        <v>1685</v>
      </c>
      <c r="D54" s="30">
        <v>76</v>
      </c>
      <c r="E54" s="30">
        <v>453799</v>
      </c>
      <c r="F54" s="36">
        <f t="shared" ref="F54:F57" si="6">C54-D54</f>
        <v>1609</v>
      </c>
    </row>
    <row r="55" spans="1:6" x14ac:dyDescent="0.3">
      <c r="A55" s="30" t="s">
        <v>564</v>
      </c>
      <c r="B55" s="7" t="s">
        <v>316</v>
      </c>
      <c r="C55" s="30">
        <v>248</v>
      </c>
      <c r="D55" s="30">
        <v>211</v>
      </c>
      <c r="E55" s="30">
        <v>379380</v>
      </c>
      <c r="F55" s="36">
        <f t="shared" si="6"/>
        <v>37</v>
      </c>
    </row>
    <row r="56" spans="1:6" x14ac:dyDescent="0.3">
      <c r="A56" s="30" t="s">
        <v>563</v>
      </c>
      <c r="B56" s="7" t="s">
        <v>324</v>
      </c>
      <c r="C56" s="30">
        <v>1300</v>
      </c>
      <c r="D56" s="30">
        <v>71</v>
      </c>
      <c r="E56" s="30">
        <v>186454</v>
      </c>
      <c r="F56" s="36">
        <f t="shared" si="6"/>
        <v>1229</v>
      </c>
    </row>
    <row r="57" spans="1:6" x14ac:dyDescent="0.3">
      <c r="A57" s="30" t="s">
        <v>565</v>
      </c>
      <c r="B57" s="7" t="s">
        <v>324</v>
      </c>
      <c r="C57" s="30">
        <v>422</v>
      </c>
      <c r="D57" s="30">
        <v>394</v>
      </c>
      <c r="E57" s="30">
        <v>239044</v>
      </c>
      <c r="F57" s="36">
        <f t="shared" si="6"/>
        <v>28</v>
      </c>
    </row>
    <row r="58" spans="1:6" hidden="1" x14ac:dyDescent="0.3">
      <c r="A58" s="30"/>
      <c r="B58" s="7" t="s">
        <v>316</v>
      </c>
      <c r="C58" s="30">
        <v>1429</v>
      </c>
      <c r="D58" s="30">
        <v>182</v>
      </c>
      <c r="E58" s="30">
        <v>101332</v>
      </c>
    </row>
    <row r="59" spans="1:6" x14ac:dyDescent="0.3">
      <c r="A59" s="30" t="s">
        <v>563</v>
      </c>
      <c r="B59" s="7" t="s">
        <v>316</v>
      </c>
      <c r="C59" s="30">
        <v>1520</v>
      </c>
      <c r="D59" s="30">
        <v>475</v>
      </c>
      <c r="E59" s="30">
        <v>496982</v>
      </c>
      <c r="F59" s="36">
        <f t="shared" ref="F59:F63" si="7">C59-D59</f>
        <v>1045</v>
      </c>
    </row>
    <row r="60" spans="1:6" x14ac:dyDescent="0.3">
      <c r="A60" s="30" t="s">
        <v>565</v>
      </c>
      <c r="B60" s="7" t="s">
        <v>324</v>
      </c>
      <c r="C60" s="30">
        <v>557</v>
      </c>
      <c r="D60" s="30">
        <v>360</v>
      </c>
      <c r="E60" s="30">
        <v>318779</v>
      </c>
      <c r="F60" s="36">
        <f t="shared" si="7"/>
        <v>197</v>
      </c>
    </row>
    <row r="61" spans="1:6" x14ac:dyDescent="0.3">
      <c r="A61" s="30" t="s">
        <v>564</v>
      </c>
      <c r="B61" s="7" t="s">
        <v>324</v>
      </c>
      <c r="C61" s="30">
        <v>728</v>
      </c>
      <c r="D61" s="30">
        <v>395</v>
      </c>
      <c r="E61" s="30">
        <v>370971</v>
      </c>
      <c r="F61" s="36">
        <f t="shared" si="7"/>
        <v>333</v>
      </c>
    </row>
    <row r="62" spans="1:6" x14ac:dyDescent="0.3">
      <c r="A62" s="30" t="s">
        <v>562</v>
      </c>
      <c r="B62" s="7" t="s">
        <v>311</v>
      </c>
      <c r="C62" s="30">
        <v>1592</v>
      </c>
      <c r="D62" s="30">
        <v>20</v>
      </c>
      <c r="E62" s="30">
        <v>378054</v>
      </c>
      <c r="F62" s="36">
        <f t="shared" si="7"/>
        <v>1572</v>
      </c>
    </row>
    <row r="63" spans="1:6" x14ac:dyDescent="0.3">
      <c r="A63" s="30" t="s">
        <v>565</v>
      </c>
      <c r="B63" s="7" t="s">
        <v>319</v>
      </c>
      <c r="C63" s="30">
        <v>1842</v>
      </c>
      <c r="D63" s="30">
        <v>414</v>
      </c>
      <c r="E63" s="30">
        <v>307524</v>
      </c>
      <c r="F63" s="36">
        <f t="shared" si="7"/>
        <v>1428</v>
      </c>
    </row>
    <row r="64" spans="1:6" hidden="1" x14ac:dyDescent="0.3">
      <c r="A64" s="30"/>
      <c r="B64" s="7" t="s">
        <v>319</v>
      </c>
      <c r="C64" s="30">
        <v>751</v>
      </c>
      <c r="D64" s="30">
        <v>491</v>
      </c>
      <c r="E64" s="30">
        <v>434047</v>
      </c>
    </row>
    <row r="65" spans="1:6" x14ac:dyDescent="0.3">
      <c r="A65" s="30" t="s">
        <v>564</v>
      </c>
      <c r="B65" s="7" t="s">
        <v>319</v>
      </c>
      <c r="C65" s="30">
        <v>1409</v>
      </c>
      <c r="D65" s="30">
        <v>309</v>
      </c>
      <c r="E65" s="30">
        <v>64583</v>
      </c>
      <c r="F65" s="36">
        <f t="shared" ref="F65:F69" si="8">C65-D65</f>
        <v>1100</v>
      </c>
    </row>
    <row r="66" spans="1:6" x14ac:dyDescent="0.3">
      <c r="A66" s="30" t="s">
        <v>562</v>
      </c>
      <c r="B66" s="7" t="s">
        <v>311</v>
      </c>
      <c r="C66" s="30">
        <v>778</v>
      </c>
      <c r="D66" s="30">
        <v>401</v>
      </c>
      <c r="E66" s="30">
        <v>50793</v>
      </c>
      <c r="F66" s="36">
        <f t="shared" si="8"/>
        <v>377</v>
      </c>
    </row>
    <row r="67" spans="1:6" x14ac:dyDescent="0.3">
      <c r="A67" s="30" t="s">
        <v>564</v>
      </c>
      <c r="B67" s="7" t="s">
        <v>311</v>
      </c>
      <c r="C67" s="30">
        <v>443</v>
      </c>
      <c r="D67" s="30">
        <v>345</v>
      </c>
      <c r="E67" s="30">
        <v>474162</v>
      </c>
      <c r="F67" s="36">
        <f t="shared" si="8"/>
        <v>98</v>
      </c>
    </row>
    <row r="68" spans="1:6" x14ac:dyDescent="0.3">
      <c r="A68" s="30" t="s">
        <v>564</v>
      </c>
      <c r="B68" s="7" t="s">
        <v>311</v>
      </c>
      <c r="C68" s="30">
        <v>1472</v>
      </c>
      <c r="D68" s="30">
        <v>347</v>
      </c>
      <c r="E68" s="30">
        <v>392355</v>
      </c>
      <c r="F68" s="36">
        <f t="shared" si="8"/>
        <v>1125</v>
      </c>
    </row>
    <row r="69" spans="1:6" x14ac:dyDescent="0.3">
      <c r="A69" s="30" t="s">
        <v>564</v>
      </c>
      <c r="B69" s="7" t="s">
        <v>324</v>
      </c>
      <c r="C69" s="30">
        <v>123</v>
      </c>
      <c r="D69" s="30">
        <v>155</v>
      </c>
      <c r="E69" s="30">
        <v>119934</v>
      </c>
      <c r="F69" s="36">
        <f t="shared" si="8"/>
        <v>-32</v>
      </c>
    </row>
    <row r="70" spans="1:6" hidden="1" x14ac:dyDescent="0.3">
      <c r="A70" s="30"/>
      <c r="B70" s="7" t="s">
        <v>319</v>
      </c>
      <c r="C70" s="30">
        <v>817</v>
      </c>
      <c r="D70" s="30">
        <v>151</v>
      </c>
      <c r="E70" s="30">
        <v>422625</v>
      </c>
    </row>
    <row r="71" spans="1:6" x14ac:dyDescent="0.3">
      <c r="A71" s="30" t="s">
        <v>562</v>
      </c>
      <c r="B71" s="7" t="s">
        <v>311</v>
      </c>
      <c r="C71" s="30">
        <v>198</v>
      </c>
      <c r="D71" s="30">
        <v>217</v>
      </c>
      <c r="E71" s="30">
        <v>239753</v>
      </c>
      <c r="F71" s="36">
        <f t="shared" ref="F71:F72" si="9">C71-D71</f>
        <v>-19</v>
      </c>
    </row>
    <row r="72" spans="1:6" x14ac:dyDescent="0.3">
      <c r="A72" s="30" t="s">
        <v>564</v>
      </c>
      <c r="B72" s="7" t="s">
        <v>324</v>
      </c>
      <c r="C72" s="30">
        <v>1911</v>
      </c>
      <c r="D72" s="30">
        <v>231</v>
      </c>
      <c r="E72" s="30">
        <v>268516</v>
      </c>
      <c r="F72" s="36">
        <f t="shared" si="9"/>
        <v>1680</v>
      </c>
    </row>
    <row r="73" spans="1:6" hidden="1" x14ac:dyDescent="0.3">
      <c r="A73" s="30"/>
      <c r="B73" s="7" t="s">
        <v>319</v>
      </c>
      <c r="C73" s="30">
        <v>1218</v>
      </c>
      <c r="D73" s="30">
        <v>212</v>
      </c>
      <c r="E73" s="30">
        <v>63177</v>
      </c>
    </row>
    <row r="74" spans="1:6" x14ac:dyDescent="0.3">
      <c r="A74" s="30" t="s">
        <v>564</v>
      </c>
      <c r="B74" s="7" t="s">
        <v>311</v>
      </c>
      <c r="C74" s="30">
        <v>1433</v>
      </c>
      <c r="D74" s="30">
        <v>408</v>
      </c>
      <c r="E74" s="30">
        <v>370269</v>
      </c>
      <c r="F74" s="36">
        <f>C74-D74</f>
        <v>1025</v>
      </c>
    </row>
    <row r="75" spans="1:6" hidden="1" x14ac:dyDescent="0.3">
      <c r="A75" s="30"/>
      <c r="B75" s="7" t="s">
        <v>324</v>
      </c>
      <c r="C75" s="30">
        <v>250</v>
      </c>
      <c r="D75" s="30">
        <v>429</v>
      </c>
      <c r="E75" s="30">
        <v>453423</v>
      </c>
    </row>
    <row r="76" spans="1:6" x14ac:dyDescent="0.3">
      <c r="A76" s="30" t="s">
        <v>563</v>
      </c>
      <c r="B76" s="7" t="s">
        <v>316</v>
      </c>
      <c r="C76" s="30">
        <v>752</v>
      </c>
      <c r="D76" s="30">
        <v>153</v>
      </c>
      <c r="E76" s="30">
        <v>64906</v>
      </c>
      <c r="F76" s="36">
        <f t="shared" ref="F76:F81" si="10">C76-D76</f>
        <v>599</v>
      </c>
    </row>
    <row r="77" spans="1:6" x14ac:dyDescent="0.3">
      <c r="A77" s="30" t="s">
        <v>563</v>
      </c>
      <c r="B77" s="7" t="s">
        <v>316</v>
      </c>
      <c r="C77" s="30">
        <v>1918</v>
      </c>
      <c r="D77" s="30">
        <v>212</v>
      </c>
      <c r="E77" s="30">
        <v>94360</v>
      </c>
      <c r="F77" s="36">
        <f t="shared" si="10"/>
        <v>1706</v>
      </c>
    </row>
    <row r="78" spans="1:6" x14ac:dyDescent="0.3">
      <c r="A78" s="30" t="s">
        <v>565</v>
      </c>
      <c r="B78" s="7" t="s">
        <v>324</v>
      </c>
      <c r="C78" s="30">
        <v>1939</v>
      </c>
      <c r="D78" s="30">
        <v>67</v>
      </c>
      <c r="E78" s="30">
        <v>187183</v>
      </c>
      <c r="F78" s="36">
        <f t="shared" si="10"/>
        <v>1872</v>
      </c>
    </row>
    <row r="79" spans="1:6" x14ac:dyDescent="0.3">
      <c r="A79" s="30" t="s">
        <v>564</v>
      </c>
      <c r="B79" s="7" t="s">
        <v>316</v>
      </c>
      <c r="C79" s="30">
        <v>1929</v>
      </c>
      <c r="D79" s="30">
        <v>267</v>
      </c>
      <c r="E79" s="30">
        <v>379363</v>
      </c>
      <c r="F79" s="36">
        <f t="shared" si="10"/>
        <v>1662</v>
      </c>
    </row>
    <row r="80" spans="1:6" x14ac:dyDescent="0.3">
      <c r="A80" s="30" t="s">
        <v>565</v>
      </c>
      <c r="B80" s="7" t="s">
        <v>319</v>
      </c>
      <c r="C80" s="30">
        <v>437</v>
      </c>
      <c r="D80" s="30">
        <v>330</v>
      </c>
      <c r="E80" s="30">
        <v>476486</v>
      </c>
      <c r="F80" s="36">
        <f t="shared" si="10"/>
        <v>107</v>
      </c>
    </row>
    <row r="81" spans="1:6" x14ac:dyDescent="0.3">
      <c r="A81" s="30" t="s">
        <v>565</v>
      </c>
      <c r="B81" s="7" t="s">
        <v>311</v>
      </c>
      <c r="C81" s="30">
        <v>307</v>
      </c>
      <c r="D81" s="30">
        <v>189</v>
      </c>
      <c r="E81" s="30">
        <v>117767</v>
      </c>
      <c r="F81" s="36">
        <f t="shared" si="10"/>
        <v>118</v>
      </c>
    </row>
    <row r="82" spans="1:6" hidden="1" x14ac:dyDescent="0.3">
      <c r="A82" s="30"/>
      <c r="B82" s="7" t="s">
        <v>324</v>
      </c>
      <c r="C82" s="30">
        <v>1527</v>
      </c>
      <c r="D82" s="30">
        <v>303</v>
      </c>
      <c r="E82" s="30">
        <v>388555</v>
      </c>
    </row>
    <row r="83" spans="1:6" x14ac:dyDescent="0.3">
      <c r="A83" s="30" t="s">
        <v>565</v>
      </c>
      <c r="B83" s="7" t="s">
        <v>311</v>
      </c>
      <c r="C83" s="30">
        <v>643</v>
      </c>
      <c r="D83" s="30">
        <v>358</v>
      </c>
      <c r="E83" s="30">
        <v>157599</v>
      </c>
      <c r="F83" s="36">
        <f t="shared" ref="F83:F84" si="11">C83-D83</f>
        <v>285</v>
      </c>
    </row>
    <row r="84" spans="1:6" x14ac:dyDescent="0.3">
      <c r="A84" s="30" t="s">
        <v>563</v>
      </c>
      <c r="B84" s="7" t="s">
        <v>319</v>
      </c>
      <c r="C84" s="30">
        <v>201</v>
      </c>
      <c r="D84" s="30">
        <v>221</v>
      </c>
      <c r="E84" s="30">
        <v>309772</v>
      </c>
      <c r="F84" s="36">
        <f t="shared" si="11"/>
        <v>-20</v>
      </c>
    </row>
    <row r="85" spans="1:6" hidden="1" x14ac:dyDescent="0.3">
      <c r="A85" s="30"/>
      <c r="B85" s="7" t="s">
        <v>319</v>
      </c>
      <c r="C85" s="30">
        <v>414</v>
      </c>
      <c r="D85" s="30">
        <v>47</v>
      </c>
      <c r="E85" s="30">
        <v>199178</v>
      </c>
    </row>
    <row r="86" spans="1:6" x14ac:dyDescent="0.3">
      <c r="A86" s="30" t="s">
        <v>564</v>
      </c>
      <c r="B86" s="7" t="s">
        <v>319</v>
      </c>
      <c r="C86" s="30">
        <v>703</v>
      </c>
      <c r="D86" s="30">
        <v>441</v>
      </c>
      <c r="E86" s="30">
        <v>357089</v>
      </c>
      <c r="F86" s="36">
        <f t="shared" ref="F86:F87" si="12">C86-D86</f>
        <v>262</v>
      </c>
    </row>
    <row r="87" spans="1:6" x14ac:dyDescent="0.3">
      <c r="A87" s="30" t="s">
        <v>564</v>
      </c>
      <c r="B87" s="7" t="s">
        <v>319</v>
      </c>
      <c r="C87" s="30">
        <v>508</v>
      </c>
      <c r="D87" s="30">
        <v>69</v>
      </c>
      <c r="E87" s="30">
        <v>23492</v>
      </c>
      <c r="F87" s="36">
        <f t="shared" si="12"/>
        <v>439</v>
      </c>
    </row>
    <row r="88" spans="1:6" hidden="1" x14ac:dyDescent="0.3">
      <c r="A88" s="30"/>
      <c r="B88" s="7" t="s">
        <v>316</v>
      </c>
      <c r="C88" s="30">
        <v>697</v>
      </c>
      <c r="D88" s="30">
        <v>61</v>
      </c>
      <c r="E88" s="30">
        <v>258287</v>
      </c>
    </row>
    <row r="89" spans="1:6" x14ac:dyDescent="0.3">
      <c r="A89" s="30" t="s">
        <v>565</v>
      </c>
      <c r="B89" s="7" t="s">
        <v>324</v>
      </c>
      <c r="C89" s="30">
        <v>1707</v>
      </c>
      <c r="D89" s="30">
        <v>223</v>
      </c>
      <c r="E89" s="30">
        <v>256910</v>
      </c>
      <c r="F89" s="36">
        <f t="shared" ref="F89:F93" si="13">C89-D89</f>
        <v>1484</v>
      </c>
    </row>
    <row r="90" spans="1:6" x14ac:dyDescent="0.3">
      <c r="A90" s="30" t="s">
        <v>562</v>
      </c>
      <c r="B90" s="7" t="s">
        <v>319</v>
      </c>
      <c r="C90" s="30">
        <v>642</v>
      </c>
      <c r="D90" s="30">
        <v>66</v>
      </c>
      <c r="E90" s="30">
        <v>346522</v>
      </c>
      <c r="F90" s="36">
        <f t="shared" si="13"/>
        <v>576</v>
      </c>
    </row>
    <row r="91" spans="1:6" x14ac:dyDescent="0.3">
      <c r="A91" s="30" t="s">
        <v>565</v>
      </c>
      <c r="B91" s="7" t="s">
        <v>316</v>
      </c>
      <c r="C91" s="30">
        <v>859</v>
      </c>
      <c r="D91" s="30">
        <v>473</v>
      </c>
      <c r="E91" s="30">
        <v>209987</v>
      </c>
      <c r="F91" s="36">
        <f t="shared" si="13"/>
        <v>386</v>
      </c>
    </row>
    <row r="92" spans="1:6" x14ac:dyDescent="0.3">
      <c r="A92" s="30" t="s">
        <v>564</v>
      </c>
      <c r="B92" s="7" t="s">
        <v>311</v>
      </c>
      <c r="C92" s="30">
        <v>191</v>
      </c>
      <c r="D92" s="30">
        <v>154</v>
      </c>
      <c r="E92" s="30">
        <v>240550</v>
      </c>
      <c r="F92" s="36">
        <f t="shared" si="13"/>
        <v>37</v>
      </c>
    </row>
    <row r="93" spans="1:6" x14ac:dyDescent="0.3">
      <c r="A93" s="30" t="s">
        <v>565</v>
      </c>
      <c r="B93" s="7" t="s">
        <v>324</v>
      </c>
      <c r="C93" s="30">
        <v>1814</v>
      </c>
      <c r="D93" s="30">
        <v>157</v>
      </c>
      <c r="E93" s="30">
        <v>305827</v>
      </c>
      <c r="F93" s="36">
        <f t="shared" si="13"/>
        <v>1657</v>
      </c>
    </row>
    <row r="94" spans="1:6" hidden="1" x14ac:dyDescent="0.3">
      <c r="A94" s="30"/>
      <c r="B94" s="7" t="s">
        <v>311</v>
      </c>
      <c r="C94" s="30">
        <v>1466</v>
      </c>
      <c r="D94" s="30">
        <v>69</v>
      </c>
      <c r="E94" s="30">
        <v>54935</v>
      </c>
    </row>
    <row r="95" spans="1:6" x14ac:dyDescent="0.3">
      <c r="A95" s="30" t="s">
        <v>565</v>
      </c>
      <c r="B95" s="7" t="s">
        <v>319</v>
      </c>
      <c r="C95" s="30">
        <v>947</v>
      </c>
      <c r="D95" s="30">
        <v>407</v>
      </c>
      <c r="E95" s="30">
        <v>319186</v>
      </c>
      <c r="F95" s="36">
        <f t="shared" ref="F95:F100" si="14">C95-D95</f>
        <v>540</v>
      </c>
    </row>
    <row r="96" spans="1:6" x14ac:dyDescent="0.3">
      <c r="A96" s="30" t="s">
        <v>565</v>
      </c>
      <c r="B96" s="7" t="s">
        <v>324</v>
      </c>
      <c r="C96" s="30">
        <v>1821</v>
      </c>
      <c r="D96" s="30">
        <v>218</v>
      </c>
      <c r="E96" s="30">
        <v>439080</v>
      </c>
      <c r="F96" s="36">
        <f t="shared" si="14"/>
        <v>1603</v>
      </c>
    </row>
    <row r="97" spans="1:6" x14ac:dyDescent="0.3">
      <c r="A97" s="30" t="s">
        <v>564</v>
      </c>
      <c r="B97" s="7" t="s">
        <v>311</v>
      </c>
      <c r="C97" s="30">
        <v>1507</v>
      </c>
      <c r="D97" s="30">
        <v>463</v>
      </c>
      <c r="E97" s="30">
        <v>258944</v>
      </c>
      <c r="F97" s="36">
        <f t="shared" si="14"/>
        <v>1044</v>
      </c>
    </row>
    <row r="98" spans="1:6" x14ac:dyDescent="0.3">
      <c r="A98" s="30" t="s">
        <v>564</v>
      </c>
      <c r="B98" s="7" t="s">
        <v>319</v>
      </c>
      <c r="C98" s="30">
        <v>1075</v>
      </c>
      <c r="D98" s="30">
        <v>173</v>
      </c>
      <c r="E98" s="30">
        <v>51395</v>
      </c>
      <c r="F98" s="36">
        <f t="shared" si="14"/>
        <v>902</v>
      </c>
    </row>
    <row r="99" spans="1:6" x14ac:dyDescent="0.3">
      <c r="A99" s="30" t="s">
        <v>564</v>
      </c>
      <c r="B99" s="7" t="s">
        <v>319</v>
      </c>
      <c r="C99" s="30">
        <v>171</v>
      </c>
      <c r="D99" s="30">
        <v>277</v>
      </c>
      <c r="E99" s="30">
        <v>309483</v>
      </c>
      <c r="F99" s="36">
        <f t="shared" si="14"/>
        <v>-106</v>
      </c>
    </row>
    <row r="100" spans="1:6" x14ac:dyDescent="0.3">
      <c r="A100" s="30" t="s">
        <v>565</v>
      </c>
      <c r="B100" s="7" t="s">
        <v>319</v>
      </c>
      <c r="C100" s="30">
        <v>1487</v>
      </c>
      <c r="D100" s="30">
        <v>337</v>
      </c>
      <c r="E100" s="30">
        <v>87305</v>
      </c>
      <c r="F100" s="36">
        <f t="shared" si="14"/>
        <v>1150</v>
      </c>
    </row>
    <row r="101" spans="1:6" hidden="1" x14ac:dyDescent="0.3">
      <c r="A101" s="30"/>
      <c r="B101" s="7" t="s">
        <v>311</v>
      </c>
      <c r="C101" s="30">
        <v>454</v>
      </c>
      <c r="D101" s="30">
        <v>105</v>
      </c>
      <c r="E101" s="30">
        <v>121091</v>
      </c>
    </row>
    <row r="102" spans="1:6" x14ac:dyDescent="0.3">
      <c r="A102" s="30" t="s">
        <v>563</v>
      </c>
      <c r="B102" s="7" t="s">
        <v>319</v>
      </c>
      <c r="C102" s="30">
        <v>187</v>
      </c>
      <c r="D102" s="30">
        <v>236</v>
      </c>
      <c r="E102" s="30">
        <v>51087</v>
      </c>
      <c r="F102" s="36">
        <f t="shared" ref="F102:F104" si="15">C102-D102</f>
        <v>-49</v>
      </c>
    </row>
    <row r="103" spans="1:6" x14ac:dyDescent="0.3">
      <c r="A103" s="30" t="s">
        <v>565</v>
      </c>
      <c r="B103" s="7" t="s">
        <v>311</v>
      </c>
      <c r="C103" s="30">
        <v>513</v>
      </c>
      <c r="D103" s="30">
        <v>441</v>
      </c>
      <c r="E103" s="30">
        <v>338847</v>
      </c>
      <c r="F103" s="36">
        <f t="shared" si="15"/>
        <v>72</v>
      </c>
    </row>
    <row r="104" spans="1:6" x14ac:dyDescent="0.3">
      <c r="A104" s="30" t="s">
        <v>564</v>
      </c>
      <c r="B104" s="7" t="s">
        <v>316</v>
      </c>
      <c r="C104" s="30">
        <v>628</v>
      </c>
      <c r="D104" s="30">
        <v>183</v>
      </c>
      <c r="E104" s="30">
        <v>487523</v>
      </c>
      <c r="F104" s="36">
        <f t="shared" si="15"/>
        <v>445</v>
      </c>
    </row>
    <row r="105" spans="1:6" hidden="1" x14ac:dyDescent="0.3">
      <c r="A105" s="30"/>
      <c r="B105" s="7" t="s">
        <v>316</v>
      </c>
      <c r="C105" s="30">
        <v>278</v>
      </c>
      <c r="D105" s="30">
        <v>218</v>
      </c>
      <c r="E105" s="30">
        <v>301695</v>
      </c>
    </row>
    <row r="106" spans="1:6" x14ac:dyDescent="0.3">
      <c r="A106" s="30" t="s">
        <v>564</v>
      </c>
      <c r="B106" s="7" t="s">
        <v>316</v>
      </c>
      <c r="C106" s="30">
        <v>1854</v>
      </c>
      <c r="D106" s="30">
        <v>161</v>
      </c>
      <c r="E106" s="30">
        <v>282466</v>
      </c>
      <c r="F106" s="36">
        <f t="shared" ref="F106:F111" si="16">C106-D106</f>
        <v>1693</v>
      </c>
    </row>
    <row r="107" spans="1:6" x14ac:dyDescent="0.3">
      <c r="A107" s="30" t="s">
        <v>563</v>
      </c>
      <c r="B107" s="7" t="s">
        <v>311</v>
      </c>
      <c r="C107" s="30">
        <v>1710</v>
      </c>
      <c r="D107" s="30">
        <v>378</v>
      </c>
      <c r="E107" s="30">
        <v>336661</v>
      </c>
      <c r="F107" s="36">
        <f t="shared" si="16"/>
        <v>1332</v>
      </c>
    </row>
    <row r="108" spans="1:6" x14ac:dyDescent="0.3">
      <c r="A108" s="30" t="s">
        <v>563</v>
      </c>
      <c r="B108" s="7" t="s">
        <v>324</v>
      </c>
      <c r="C108" s="30">
        <v>330</v>
      </c>
      <c r="D108" s="30">
        <v>232</v>
      </c>
      <c r="E108" s="30">
        <v>88455</v>
      </c>
      <c r="F108" s="36">
        <f t="shared" si="16"/>
        <v>98</v>
      </c>
    </row>
    <row r="109" spans="1:6" x14ac:dyDescent="0.3">
      <c r="A109" s="30" t="s">
        <v>564</v>
      </c>
      <c r="B109" s="7" t="s">
        <v>316</v>
      </c>
      <c r="C109" s="30">
        <v>1293</v>
      </c>
      <c r="D109" s="30">
        <v>408</v>
      </c>
      <c r="E109" s="30">
        <v>62535</v>
      </c>
      <c r="F109" s="36">
        <f t="shared" si="16"/>
        <v>885</v>
      </c>
    </row>
    <row r="110" spans="1:6" x14ac:dyDescent="0.3">
      <c r="A110" s="30" t="s">
        <v>562</v>
      </c>
      <c r="B110" s="7" t="s">
        <v>319</v>
      </c>
      <c r="C110" s="30">
        <v>1696</v>
      </c>
      <c r="D110" s="30">
        <v>71</v>
      </c>
      <c r="E110" s="30">
        <v>421957</v>
      </c>
      <c r="F110" s="36">
        <f t="shared" si="16"/>
        <v>1625</v>
      </c>
    </row>
    <row r="111" spans="1:6" x14ac:dyDescent="0.3">
      <c r="A111" s="30" t="s">
        <v>565</v>
      </c>
      <c r="B111" s="7" t="s">
        <v>319</v>
      </c>
      <c r="C111" s="30">
        <v>1902</v>
      </c>
      <c r="D111" s="30">
        <v>196</v>
      </c>
      <c r="E111" s="30">
        <v>470269</v>
      </c>
      <c r="F111" s="36">
        <f t="shared" si="16"/>
        <v>1706</v>
      </c>
    </row>
    <row r="112" spans="1:6" hidden="1" x14ac:dyDescent="0.3">
      <c r="A112" s="30"/>
      <c r="B112" s="7" t="s">
        <v>316</v>
      </c>
      <c r="C112" s="30">
        <v>1441</v>
      </c>
      <c r="D112" s="30">
        <v>268</v>
      </c>
      <c r="E112" s="30">
        <v>309904</v>
      </c>
    </row>
    <row r="113" spans="1:6" x14ac:dyDescent="0.3">
      <c r="A113" s="30" t="s">
        <v>563</v>
      </c>
      <c r="B113" s="7" t="s">
        <v>311</v>
      </c>
      <c r="C113" s="30">
        <v>452</v>
      </c>
      <c r="D113" s="30">
        <v>161</v>
      </c>
      <c r="E113" s="30">
        <v>221274</v>
      </c>
      <c r="F113" s="36">
        <f t="shared" ref="F113:F120" si="17">C113-D113</f>
        <v>291</v>
      </c>
    </row>
    <row r="114" spans="1:6" x14ac:dyDescent="0.3">
      <c r="A114" s="30" t="s">
        <v>564</v>
      </c>
      <c r="B114" s="7" t="s">
        <v>311</v>
      </c>
      <c r="C114" s="30">
        <v>1494</v>
      </c>
      <c r="D114" s="30">
        <v>375</v>
      </c>
      <c r="E114" s="30">
        <v>220616</v>
      </c>
      <c r="F114" s="36">
        <f t="shared" si="17"/>
        <v>1119</v>
      </c>
    </row>
    <row r="115" spans="1:6" x14ac:dyDescent="0.3">
      <c r="A115" s="30" t="s">
        <v>563</v>
      </c>
      <c r="B115" s="7" t="s">
        <v>319</v>
      </c>
      <c r="C115" s="30">
        <v>1514</v>
      </c>
      <c r="D115" s="30">
        <v>141</v>
      </c>
      <c r="E115" s="30">
        <v>35842</v>
      </c>
      <c r="F115" s="36">
        <f t="shared" si="17"/>
        <v>1373</v>
      </c>
    </row>
    <row r="116" spans="1:6" x14ac:dyDescent="0.3">
      <c r="A116" s="30" t="s">
        <v>563</v>
      </c>
      <c r="B116" s="7" t="s">
        <v>316</v>
      </c>
      <c r="C116" s="30">
        <v>1937</v>
      </c>
      <c r="D116" s="30">
        <v>210</v>
      </c>
      <c r="E116" s="30">
        <v>20607</v>
      </c>
      <c r="F116" s="36">
        <f t="shared" si="17"/>
        <v>1727</v>
      </c>
    </row>
    <row r="117" spans="1:6" x14ac:dyDescent="0.3">
      <c r="A117" s="30" t="s">
        <v>564</v>
      </c>
      <c r="B117" s="7" t="s">
        <v>311</v>
      </c>
      <c r="C117" s="30">
        <v>736</v>
      </c>
      <c r="D117" s="30">
        <v>163</v>
      </c>
      <c r="E117" s="30">
        <v>451894</v>
      </c>
      <c r="F117" s="36">
        <f t="shared" si="17"/>
        <v>573</v>
      </c>
    </row>
    <row r="118" spans="1:6" x14ac:dyDescent="0.3">
      <c r="A118" s="30" t="s">
        <v>562</v>
      </c>
      <c r="B118" s="7" t="s">
        <v>311</v>
      </c>
      <c r="C118" s="30">
        <v>1502</v>
      </c>
      <c r="D118" s="30">
        <v>70</v>
      </c>
      <c r="E118" s="30">
        <v>465553</v>
      </c>
      <c r="F118" s="36">
        <f t="shared" si="17"/>
        <v>1432</v>
      </c>
    </row>
    <row r="119" spans="1:6" x14ac:dyDescent="0.3">
      <c r="A119" s="30" t="s">
        <v>562</v>
      </c>
      <c r="B119" s="7" t="s">
        <v>311</v>
      </c>
      <c r="C119" s="30">
        <v>1623</v>
      </c>
      <c r="D119" s="30">
        <v>246</v>
      </c>
      <c r="E119" s="30">
        <v>415815</v>
      </c>
      <c r="F119" s="36">
        <f t="shared" si="17"/>
        <v>1377</v>
      </c>
    </row>
    <row r="120" spans="1:6" x14ac:dyDescent="0.3">
      <c r="A120" s="30" t="s">
        <v>565</v>
      </c>
      <c r="B120" s="7" t="s">
        <v>311</v>
      </c>
      <c r="C120" s="30">
        <v>1592</v>
      </c>
      <c r="D120" s="30">
        <v>233</v>
      </c>
      <c r="E120" s="30">
        <v>327183</v>
      </c>
      <c r="F120" s="36">
        <f t="shared" si="17"/>
        <v>1359</v>
      </c>
    </row>
    <row r="121" spans="1:6" hidden="1" x14ac:dyDescent="0.3">
      <c r="A121" s="30"/>
      <c r="B121" s="7" t="s">
        <v>316</v>
      </c>
      <c r="C121" s="30">
        <v>1004</v>
      </c>
      <c r="D121" s="30">
        <v>128</v>
      </c>
      <c r="E121" s="30">
        <v>488901</v>
      </c>
    </row>
    <row r="122" spans="1:6" x14ac:dyDescent="0.3">
      <c r="A122" s="30" t="s">
        <v>565</v>
      </c>
      <c r="B122" s="7" t="s">
        <v>311</v>
      </c>
      <c r="C122" s="30">
        <v>1092</v>
      </c>
      <c r="D122" s="30">
        <v>408</v>
      </c>
      <c r="E122" s="30">
        <v>280795</v>
      </c>
      <c r="F122" s="36">
        <f t="shared" ref="F122:F123" si="18">C122-D122</f>
        <v>684</v>
      </c>
    </row>
    <row r="123" spans="1:6" x14ac:dyDescent="0.3">
      <c r="A123" s="30" t="s">
        <v>564</v>
      </c>
      <c r="B123" s="7" t="s">
        <v>324</v>
      </c>
      <c r="C123" s="30">
        <v>1155</v>
      </c>
      <c r="D123" s="30">
        <v>425</v>
      </c>
      <c r="E123" s="30">
        <v>93347</v>
      </c>
      <c r="F123" s="36">
        <f t="shared" si="18"/>
        <v>730</v>
      </c>
    </row>
    <row r="124" spans="1:6" hidden="1" x14ac:dyDescent="0.3">
      <c r="A124" s="30"/>
      <c r="B124" s="7" t="s">
        <v>319</v>
      </c>
      <c r="C124" s="30">
        <v>1137</v>
      </c>
      <c r="D124" s="30">
        <v>226</v>
      </c>
      <c r="E124" s="30">
        <v>81119</v>
      </c>
    </row>
    <row r="125" spans="1:6" x14ac:dyDescent="0.3">
      <c r="A125" s="30" t="s">
        <v>564</v>
      </c>
      <c r="B125" s="7" t="s">
        <v>324</v>
      </c>
      <c r="C125" s="30">
        <v>1900</v>
      </c>
      <c r="D125" s="30">
        <v>311</v>
      </c>
      <c r="E125" s="30">
        <v>25177</v>
      </c>
      <c r="F125" s="36">
        <f>C125-D125</f>
        <v>1589</v>
      </c>
    </row>
    <row r="126" spans="1:6" hidden="1" x14ac:dyDescent="0.3">
      <c r="A126" s="30"/>
      <c r="B126" s="7" t="s">
        <v>319</v>
      </c>
      <c r="C126" s="30">
        <v>1814</v>
      </c>
      <c r="D126" s="30">
        <v>49</v>
      </c>
      <c r="E126" s="30">
        <v>140804</v>
      </c>
    </row>
    <row r="127" spans="1:6" x14ac:dyDescent="0.3">
      <c r="A127" s="30" t="s">
        <v>563</v>
      </c>
      <c r="B127" s="7" t="s">
        <v>319</v>
      </c>
      <c r="C127" s="30">
        <v>1980</v>
      </c>
      <c r="D127" s="30">
        <v>204</v>
      </c>
      <c r="E127" s="30">
        <v>379431</v>
      </c>
      <c r="F127" s="36">
        <f t="shared" ref="F127:F130" si="19">C127-D127</f>
        <v>1776</v>
      </c>
    </row>
    <row r="128" spans="1:6" x14ac:dyDescent="0.3">
      <c r="A128" s="30" t="s">
        <v>562</v>
      </c>
      <c r="B128" s="7" t="s">
        <v>319</v>
      </c>
      <c r="C128" s="30">
        <v>1786</v>
      </c>
      <c r="D128" s="30">
        <v>257</v>
      </c>
      <c r="E128" s="30">
        <v>274831</v>
      </c>
      <c r="F128" s="36">
        <f t="shared" si="19"/>
        <v>1529</v>
      </c>
    </row>
    <row r="129" spans="1:6" x14ac:dyDescent="0.3">
      <c r="A129" s="30" t="s">
        <v>562</v>
      </c>
      <c r="B129" s="7" t="s">
        <v>316</v>
      </c>
      <c r="C129" s="30">
        <v>1495</v>
      </c>
      <c r="D129" s="30">
        <v>35</v>
      </c>
      <c r="E129" s="30">
        <v>136845</v>
      </c>
      <c r="F129" s="36">
        <f t="shared" si="19"/>
        <v>1460</v>
      </c>
    </row>
    <row r="130" spans="1:6" x14ac:dyDescent="0.3">
      <c r="A130" s="30" t="s">
        <v>565</v>
      </c>
      <c r="B130" s="7" t="s">
        <v>311</v>
      </c>
      <c r="C130" s="30">
        <v>1013</v>
      </c>
      <c r="D130" s="30">
        <v>110</v>
      </c>
      <c r="E130" s="30">
        <v>466382</v>
      </c>
      <c r="F130" s="36">
        <f t="shared" si="19"/>
        <v>903</v>
      </c>
    </row>
    <row r="131" spans="1:6" hidden="1" x14ac:dyDescent="0.3">
      <c r="A131" s="30"/>
      <c r="B131" s="7" t="s">
        <v>319</v>
      </c>
      <c r="C131" s="30">
        <v>816</v>
      </c>
      <c r="D131" s="30">
        <v>196</v>
      </c>
      <c r="E131" s="30">
        <v>95728</v>
      </c>
    </row>
    <row r="132" spans="1:6" x14ac:dyDescent="0.3">
      <c r="A132" s="30" t="s">
        <v>564</v>
      </c>
      <c r="B132" s="7" t="s">
        <v>324</v>
      </c>
      <c r="C132" s="30">
        <v>1633</v>
      </c>
      <c r="D132" s="30">
        <v>445</v>
      </c>
      <c r="E132" s="30">
        <v>371156</v>
      </c>
      <c r="F132" s="36">
        <f>C132-D132</f>
        <v>1188</v>
      </c>
    </row>
    <row r="133" spans="1:6" hidden="1" x14ac:dyDescent="0.3">
      <c r="A133" s="30"/>
      <c r="B133" s="7" t="s">
        <v>311</v>
      </c>
      <c r="C133" s="30">
        <v>891</v>
      </c>
      <c r="D133" s="30">
        <v>45</v>
      </c>
      <c r="E133" s="30">
        <v>95410</v>
      </c>
    </row>
    <row r="134" spans="1:6" hidden="1" x14ac:dyDescent="0.3">
      <c r="A134" s="30"/>
      <c r="B134" s="7" t="s">
        <v>311</v>
      </c>
      <c r="C134" s="30">
        <v>1855</v>
      </c>
      <c r="D134" s="30">
        <v>133</v>
      </c>
      <c r="E134" s="30">
        <v>349413</v>
      </c>
    </row>
    <row r="135" spans="1:6" x14ac:dyDescent="0.3">
      <c r="A135" s="30" t="s">
        <v>565</v>
      </c>
      <c r="B135" s="7" t="s">
        <v>316</v>
      </c>
      <c r="C135" s="30">
        <v>651</v>
      </c>
      <c r="D135" s="30">
        <v>353</v>
      </c>
      <c r="E135" s="30">
        <v>224699</v>
      </c>
      <c r="F135" s="36">
        <f t="shared" ref="F135:F141" si="20">C135-D135</f>
        <v>298</v>
      </c>
    </row>
    <row r="136" spans="1:6" x14ac:dyDescent="0.3">
      <c r="A136" s="30" t="s">
        <v>564</v>
      </c>
      <c r="B136" s="7" t="s">
        <v>319</v>
      </c>
      <c r="C136" s="30">
        <v>118</v>
      </c>
      <c r="D136" s="30">
        <v>262</v>
      </c>
      <c r="E136" s="30">
        <v>487896</v>
      </c>
      <c r="F136" s="36">
        <f t="shared" si="20"/>
        <v>-144</v>
      </c>
    </row>
    <row r="137" spans="1:6" x14ac:dyDescent="0.3">
      <c r="A137" s="30" t="s">
        <v>563</v>
      </c>
      <c r="B137" s="7" t="s">
        <v>319</v>
      </c>
      <c r="C137" s="30">
        <v>1331</v>
      </c>
      <c r="D137" s="30">
        <v>430</v>
      </c>
      <c r="E137" s="30">
        <v>14437</v>
      </c>
      <c r="F137" s="36">
        <f t="shared" si="20"/>
        <v>901</v>
      </c>
    </row>
    <row r="138" spans="1:6" x14ac:dyDescent="0.3">
      <c r="A138" s="30" t="s">
        <v>565</v>
      </c>
      <c r="B138" s="7" t="s">
        <v>324</v>
      </c>
      <c r="C138" s="30">
        <v>1748</v>
      </c>
      <c r="D138" s="30">
        <v>176</v>
      </c>
      <c r="E138" s="30">
        <v>383681</v>
      </c>
      <c r="F138" s="36">
        <f t="shared" si="20"/>
        <v>1572</v>
      </c>
    </row>
    <row r="139" spans="1:6" x14ac:dyDescent="0.3">
      <c r="A139" s="30" t="s">
        <v>562</v>
      </c>
      <c r="B139" s="7" t="s">
        <v>311</v>
      </c>
      <c r="C139" s="30">
        <v>663</v>
      </c>
      <c r="D139" s="30">
        <v>236</v>
      </c>
      <c r="E139" s="30">
        <v>479490</v>
      </c>
      <c r="F139" s="36">
        <f t="shared" si="20"/>
        <v>427</v>
      </c>
    </row>
    <row r="140" spans="1:6" x14ac:dyDescent="0.3">
      <c r="A140" s="30" t="s">
        <v>565</v>
      </c>
      <c r="B140" s="7" t="s">
        <v>324</v>
      </c>
      <c r="C140" s="30">
        <v>1040</v>
      </c>
      <c r="D140" s="30">
        <v>149</v>
      </c>
      <c r="E140" s="30">
        <v>124404</v>
      </c>
      <c r="F140" s="36">
        <f t="shared" si="20"/>
        <v>891</v>
      </c>
    </row>
    <row r="141" spans="1:6" x14ac:dyDescent="0.3">
      <c r="A141" s="30" t="s">
        <v>565</v>
      </c>
      <c r="B141" s="7" t="s">
        <v>319</v>
      </c>
      <c r="C141" s="30">
        <v>1166</v>
      </c>
      <c r="D141" s="30">
        <v>442</v>
      </c>
      <c r="E141" s="30">
        <v>336949</v>
      </c>
      <c r="F141" s="36">
        <f t="shared" si="20"/>
        <v>724</v>
      </c>
    </row>
    <row r="142" spans="1:6" hidden="1" x14ac:dyDescent="0.3">
      <c r="A142" s="30"/>
      <c r="B142" s="7" t="s">
        <v>324</v>
      </c>
      <c r="C142" s="30">
        <v>115</v>
      </c>
      <c r="D142" s="30">
        <v>281</v>
      </c>
      <c r="E142" s="30">
        <v>357265</v>
      </c>
    </row>
    <row r="143" spans="1:6" x14ac:dyDescent="0.3">
      <c r="A143" s="30" t="s">
        <v>564</v>
      </c>
      <c r="B143" s="7" t="s">
        <v>311</v>
      </c>
      <c r="C143" s="30">
        <v>1249</v>
      </c>
      <c r="D143" s="30">
        <v>351</v>
      </c>
      <c r="E143" s="30">
        <v>321307</v>
      </c>
      <c r="F143" s="36">
        <f t="shared" ref="F143:F145" si="21">C143-D143</f>
        <v>898</v>
      </c>
    </row>
    <row r="144" spans="1:6" x14ac:dyDescent="0.3">
      <c r="A144" s="30" t="s">
        <v>562</v>
      </c>
      <c r="B144" s="7" t="s">
        <v>316</v>
      </c>
      <c r="C144" s="30">
        <v>1501</v>
      </c>
      <c r="D144" s="30">
        <v>75</v>
      </c>
      <c r="E144" s="30">
        <v>262569</v>
      </c>
      <c r="F144" s="36">
        <f t="shared" si="21"/>
        <v>1426</v>
      </c>
    </row>
    <row r="145" spans="1:6" x14ac:dyDescent="0.3">
      <c r="A145" s="30" t="s">
        <v>563</v>
      </c>
      <c r="B145" s="7" t="s">
        <v>324</v>
      </c>
      <c r="C145" s="30">
        <v>1411</v>
      </c>
      <c r="D145" s="30">
        <v>186</v>
      </c>
      <c r="E145" s="30">
        <v>461669</v>
      </c>
      <c r="F145" s="36">
        <f t="shared" si="21"/>
        <v>1225</v>
      </c>
    </row>
    <row r="146" spans="1:6" hidden="1" x14ac:dyDescent="0.3">
      <c r="A146" s="30"/>
      <c r="B146" s="7" t="s">
        <v>311</v>
      </c>
      <c r="C146" s="30">
        <v>1556</v>
      </c>
      <c r="D146" s="30">
        <v>476</v>
      </c>
      <c r="E146" s="30">
        <v>351556</v>
      </c>
    </row>
    <row r="147" spans="1:6" x14ac:dyDescent="0.3">
      <c r="A147" s="30" t="s">
        <v>565</v>
      </c>
      <c r="B147" s="7" t="s">
        <v>316</v>
      </c>
      <c r="C147" s="30">
        <v>1159</v>
      </c>
      <c r="D147" s="30">
        <v>411</v>
      </c>
      <c r="E147" s="30">
        <v>135987</v>
      </c>
      <c r="F147" s="36">
        <f t="shared" ref="F147:F150" si="22">C147-D147</f>
        <v>748</v>
      </c>
    </row>
    <row r="148" spans="1:6" x14ac:dyDescent="0.3">
      <c r="A148" s="30" t="s">
        <v>564</v>
      </c>
      <c r="B148" s="7" t="s">
        <v>316</v>
      </c>
      <c r="C148" s="30">
        <v>927</v>
      </c>
      <c r="D148" s="30">
        <v>358</v>
      </c>
      <c r="E148" s="30">
        <v>177554</v>
      </c>
      <c r="F148" s="36">
        <f t="shared" si="22"/>
        <v>569</v>
      </c>
    </row>
    <row r="149" spans="1:6" x14ac:dyDescent="0.3">
      <c r="A149" s="30" t="s">
        <v>565</v>
      </c>
      <c r="B149" s="7" t="s">
        <v>316</v>
      </c>
      <c r="C149" s="30">
        <v>152</v>
      </c>
      <c r="D149" s="30">
        <v>355</v>
      </c>
      <c r="E149" s="30">
        <v>270766</v>
      </c>
      <c r="F149" s="36">
        <f t="shared" si="22"/>
        <v>-203</v>
      </c>
    </row>
    <row r="150" spans="1:6" x14ac:dyDescent="0.3">
      <c r="A150" s="30" t="s">
        <v>565</v>
      </c>
      <c r="B150" s="7" t="s">
        <v>319</v>
      </c>
      <c r="C150" s="30">
        <v>1957</v>
      </c>
      <c r="D150" s="30">
        <v>234</v>
      </c>
      <c r="E150" s="30">
        <v>222126</v>
      </c>
      <c r="F150" s="36">
        <f t="shared" si="22"/>
        <v>1723</v>
      </c>
    </row>
    <row r="151" spans="1:6" hidden="1" x14ac:dyDescent="0.3">
      <c r="A151" s="30"/>
      <c r="B151" s="7" t="s">
        <v>316</v>
      </c>
      <c r="C151" s="30">
        <v>1294</v>
      </c>
      <c r="D151" s="30">
        <v>382</v>
      </c>
      <c r="E151" s="30">
        <v>309914</v>
      </c>
    </row>
    <row r="152" spans="1:6" x14ac:dyDescent="0.3">
      <c r="A152" s="30" t="s">
        <v>563</v>
      </c>
      <c r="B152" s="7" t="s">
        <v>319</v>
      </c>
      <c r="C152" s="30">
        <v>1587</v>
      </c>
      <c r="D152" s="30">
        <v>385</v>
      </c>
      <c r="E152" s="30">
        <v>126582</v>
      </c>
      <c r="F152" s="36">
        <f t="shared" ref="F152:F164" si="23">C152-D152</f>
        <v>1202</v>
      </c>
    </row>
    <row r="153" spans="1:6" x14ac:dyDescent="0.3">
      <c r="A153" s="30" t="s">
        <v>565</v>
      </c>
      <c r="B153" s="7" t="s">
        <v>319</v>
      </c>
      <c r="C153" s="30">
        <v>1707</v>
      </c>
      <c r="D153" s="30">
        <v>263</v>
      </c>
      <c r="E153" s="30">
        <v>485280</v>
      </c>
      <c r="F153" s="36">
        <f t="shared" si="23"/>
        <v>1444</v>
      </c>
    </row>
    <row r="154" spans="1:6" x14ac:dyDescent="0.3">
      <c r="A154" s="30" t="s">
        <v>562</v>
      </c>
      <c r="B154" s="7" t="s">
        <v>311</v>
      </c>
      <c r="C154" s="30">
        <v>1138</v>
      </c>
      <c r="D154" s="30">
        <v>173</v>
      </c>
      <c r="E154" s="30">
        <v>453243</v>
      </c>
      <c r="F154" s="36">
        <f t="shared" si="23"/>
        <v>965</v>
      </c>
    </row>
    <row r="155" spans="1:6" x14ac:dyDescent="0.3">
      <c r="A155" s="30" t="s">
        <v>565</v>
      </c>
      <c r="B155" s="7" t="s">
        <v>316</v>
      </c>
      <c r="C155" s="30">
        <v>1895</v>
      </c>
      <c r="D155" s="30">
        <v>305</v>
      </c>
      <c r="E155" s="30">
        <v>104967</v>
      </c>
      <c r="F155" s="36">
        <f t="shared" si="23"/>
        <v>1590</v>
      </c>
    </row>
    <row r="156" spans="1:6" x14ac:dyDescent="0.3">
      <c r="A156" s="30" t="s">
        <v>562</v>
      </c>
      <c r="B156" s="7" t="s">
        <v>319</v>
      </c>
      <c r="C156" s="30">
        <v>362</v>
      </c>
      <c r="D156" s="30">
        <v>399</v>
      </c>
      <c r="E156" s="30">
        <v>145608</v>
      </c>
      <c r="F156" s="36">
        <f t="shared" si="23"/>
        <v>-37</v>
      </c>
    </row>
    <row r="157" spans="1:6" x14ac:dyDescent="0.3">
      <c r="A157" s="30" t="s">
        <v>565</v>
      </c>
      <c r="B157" s="7" t="s">
        <v>324</v>
      </c>
      <c r="C157" s="30">
        <v>1662</v>
      </c>
      <c r="D157" s="30">
        <v>487</v>
      </c>
      <c r="E157" s="30">
        <v>105980</v>
      </c>
      <c r="F157" s="36">
        <f t="shared" si="23"/>
        <v>1175</v>
      </c>
    </row>
    <row r="158" spans="1:6" x14ac:dyDescent="0.3">
      <c r="A158" s="30" t="s">
        <v>564</v>
      </c>
      <c r="B158" s="7" t="s">
        <v>311</v>
      </c>
      <c r="C158" s="30">
        <v>1440</v>
      </c>
      <c r="D158" s="30">
        <v>65</v>
      </c>
      <c r="E158" s="30">
        <v>126524</v>
      </c>
      <c r="F158" s="36">
        <f t="shared" si="23"/>
        <v>1375</v>
      </c>
    </row>
    <row r="159" spans="1:6" x14ac:dyDescent="0.3">
      <c r="A159" s="30" t="s">
        <v>565</v>
      </c>
      <c r="B159" s="7" t="s">
        <v>319</v>
      </c>
      <c r="C159" s="30">
        <v>1884</v>
      </c>
      <c r="D159" s="30">
        <v>177</v>
      </c>
      <c r="E159" s="30">
        <v>230448</v>
      </c>
      <c r="F159" s="36">
        <f t="shared" si="23"/>
        <v>1707</v>
      </c>
    </row>
    <row r="160" spans="1:6" x14ac:dyDescent="0.3">
      <c r="A160" s="30" t="s">
        <v>563</v>
      </c>
      <c r="B160" s="7" t="s">
        <v>316</v>
      </c>
      <c r="C160" s="30">
        <v>861</v>
      </c>
      <c r="D160" s="30">
        <v>153</v>
      </c>
      <c r="E160" s="30">
        <v>317007</v>
      </c>
      <c r="F160" s="36">
        <f t="shared" si="23"/>
        <v>708</v>
      </c>
    </row>
    <row r="161" spans="1:6" x14ac:dyDescent="0.3">
      <c r="A161" s="30" t="s">
        <v>563</v>
      </c>
      <c r="B161" s="7" t="s">
        <v>324</v>
      </c>
      <c r="C161" s="30">
        <v>1063</v>
      </c>
      <c r="D161" s="30">
        <v>47</v>
      </c>
      <c r="E161" s="30">
        <v>464239</v>
      </c>
      <c r="F161" s="36">
        <f t="shared" si="23"/>
        <v>1016</v>
      </c>
    </row>
    <row r="162" spans="1:6" x14ac:dyDescent="0.3">
      <c r="A162" s="30" t="s">
        <v>563</v>
      </c>
      <c r="B162" s="7" t="s">
        <v>316</v>
      </c>
      <c r="C162" s="30">
        <v>1371</v>
      </c>
      <c r="D162" s="30">
        <v>56</v>
      </c>
      <c r="E162" s="30">
        <v>257579</v>
      </c>
      <c r="F162" s="36">
        <f t="shared" si="23"/>
        <v>1315</v>
      </c>
    </row>
    <row r="163" spans="1:6" x14ac:dyDescent="0.3">
      <c r="A163" s="30" t="s">
        <v>562</v>
      </c>
      <c r="B163" s="7" t="s">
        <v>319</v>
      </c>
      <c r="C163" s="30">
        <v>345</v>
      </c>
      <c r="D163" s="30">
        <v>464</v>
      </c>
      <c r="E163" s="30">
        <v>366881</v>
      </c>
      <c r="F163" s="36">
        <f t="shared" si="23"/>
        <v>-119</v>
      </c>
    </row>
    <row r="164" spans="1:6" x14ac:dyDescent="0.3">
      <c r="A164" s="30" t="s">
        <v>563</v>
      </c>
      <c r="B164" s="7" t="s">
        <v>324</v>
      </c>
      <c r="C164" s="30">
        <v>946</v>
      </c>
      <c r="D164" s="30">
        <v>47</v>
      </c>
      <c r="E164" s="30">
        <v>466575</v>
      </c>
      <c r="F164" s="36">
        <f t="shared" si="23"/>
        <v>899</v>
      </c>
    </row>
    <row r="165" spans="1:6" hidden="1" x14ac:dyDescent="0.3">
      <c r="A165" s="30"/>
      <c r="B165" s="7" t="s">
        <v>311</v>
      </c>
      <c r="C165" s="30">
        <v>510</v>
      </c>
      <c r="D165" s="30">
        <v>195</v>
      </c>
      <c r="E165" s="30">
        <v>224534</v>
      </c>
    </row>
    <row r="166" spans="1:6" x14ac:dyDescent="0.3">
      <c r="A166" s="30" t="s">
        <v>565</v>
      </c>
      <c r="B166" s="7" t="s">
        <v>311</v>
      </c>
      <c r="C166" s="30">
        <v>393</v>
      </c>
      <c r="D166" s="30">
        <v>181</v>
      </c>
      <c r="E166" s="30">
        <v>462142</v>
      </c>
      <c r="F166" s="36">
        <f>C166-D166</f>
        <v>212</v>
      </c>
    </row>
    <row r="167" spans="1:6" hidden="1" x14ac:dyDescent="0.3">
      <c r="A167" s="30"/>
      <c r="B167" s="7" t="s">
        <v>324</v>
      </c>
      <c r="C167" s="30">
        <v>1098</v>
      </c>
      <c r="D167" s="30">
        <v>190</v>
      </c>
      <c r="E167" s="30">
        <v>340842</v>
      </c>
    </row>
    <row r="168" spans="1:6" x14ac:dyDescent="0.3">
      <c r="A168" s="30" t="s">
        <v>563</v>
      </c>
      <c r="B168" s="7" t="s">
        <v>319</v>
      </c>
      <c r="C168" s="30">
        <v>1399</v>
      </c>
      <c r="D168" s="30">
        <v>49</v>
      </c>
      <c r="E168" s="30">
        <v>12471</v>
      </c>
      <c r="F168" s="36">
        <f t="shared" ref="F168:F171" si="24">C168-D168</f>
        <v>1350</v>
      </c>
    </row>
    <row r="169" spans="1:6" x14ac:dyDescent="0.3">
      <c r="A169" s="30" t="s">
        <v>565</v>
      </c>
      <c r="B169" s="7" t="s">
        <v>316</v>
      </c>
      <c r="C169" s="30">
        <v>1658</v>
      </c>
      <c r="D169" s="30">
        <v>416</v>
      </c>
      <c r="E169" s="30">
        <v>98397</v>
      </c>
      <c r="F169" s="36">
        <f t="shared" si="24"/>
        <v>1242</v>
      </c>
    </row>
    <row r="170" spans="1:6" x14ac:dyDescent="0.3">
      <c r="A170" s="30" t="s">
        <v>563</v>
      </c>
      <c r="B170" s="7" t="s">
        <v>311</v>
      </c>
      <c r="C170" s="30">
        <v>1102</v>
      </c>
      <c r="D170" s="30">
        <v>422</v>
      </c>
      <c r="E170" s="30">
        <v>410330</v>
      </c>
      <c r="F170" s="36">
        <f t="shared" si="24"/>
        <v>680</v>
      </c>
    </row>
    <row r="171" spans="1:6" x14ac:dyDescent="0.3">
      <c r="A171" s="30" t="s">
        <v>562</v>
      </c>
      <c r="B171" s="7" t="s">
        <v>311</v>
      </c>
      <c r="C171" s="30">
        <v>1358</v>
      </c>
      <c r="D171" s="30">
        <v>242</v>
      </c>
      <c r="E171" s="30">
        <v>342129</v>
      </c>
      <c r="F171" s="36">
        <f t="shared" si="24"/>
        <v>1116</v>
      </c>
    </row>
    <row r="172" spans="1:6" hidden="1" x14ac:dyDescent="0.3">
      <c r="A172" s="30"/>
      <c r="B172" s="7" t="s">
        <v>319</v>
      </c>
      <c r="C172" s="30">
        <v>1077</v>
      </c>
      <c r="D172" s="30">
        <v>216</v>
      </c>
      <c r="E172" s="30">
        <v>12447</v>
      </c>
    </row>
    <row r="173" spans="1:6" x14ac:dyDescent="0.3">
      <c r="A173" s="30" t="s">
        <v>562</v>
      </c>
      <c r="B173" s="7" t="s">
        <v>324</v>
      </c>
      <c r="C173" s="30">
        <v>1596</v>
      </c>
      <c r="D173" s="30">
        <v>211</v>
      </c>
      <c r="E173" s="30">
        <v>17380</v>
      </c>
      <c r="F173" s="36">
        <f t="shared" ref="F173:F178" si="25">C173-D173</f>
        <v>1385</v>
      </c>
    </row>
    <row r="174" spans="1:6" x14ac:dyDescent="0.3">
      <c r="A174" s="30" t="s">
        <v>562</v>
      </c>
      <c r="B174" s="7" t="s">
        <v>316</v>
      </c>
      <c r="C174" s="30">
        <v>490</v>
      </c>
      <c r="D174" s="30">
        <v>29</v>
      </c>
      <c r="E174" s="30">
        <v>364810</v>
      </c>
      <c r="F174" s="36">
        <f t="shared" si="25"/>
        <v>461</v>
      </c>
    </row>
    <row r="175" spans="1:6" x14ac:dyDescent="0.3">
      <c r="A175" s="30" t="s">
        <v>564</v>
      </c>
      <c r="B175" s="7" t="s">
        <v>311</v>
      </c>
      <c r="C175" s="30">
        <v>609</v>
      </c>
      <c r="D175" s="30">
        <v>135</v>
      </c>
      <c r="E175" s="30">
        <v>373606</v>
      </c>
      <c r="F175" s="36">
        <f t="shared" si="25"/>
        <v>474</v>
      </c>
    </row>
    <row r="176" spans="1:6" x14ac:dyDescent="0.3">
      <c r="A176" s="30" t="s">
        <v>563</v>
      </c>
      <c r="B176" s="7" t="s">
        <v>316</v>
      </c>
      <c r="C176" s="30">
        <v>364</v>
      </c>
      <c r="D176" s="30">
        <v>72</v>
      </c>
      <c r="E176" s="30">
        <v>211090</v>
      </c>
      <c r="F176" s="36">
        <f t="shared" si="25"/>
        <v>292</v>
      </c>
    </row>
    <row r="177" spans="1:6" x14ac:dyDescent="0.3">
      <c r="A177" s="30" t="s">
        <v>564</v>
      </c>
      <c r="B177" s="7" t="s">
        <v>324</v>
      </c>
      <c r="C177" s="30">
        <v>442</v>
      </c>
      <c r="D177" s="30">
        <v>53</v>
      </c>
      <c r="E177" s="30">
        <v>441931</v>
      </c>
      <c r="F177" s="36">
        <f t="shared" si="25"/>
        <v>389</v>
      </c>
    </row>
    <row r="178" spans="1:6" x14ac:dyDescent="0.3">
      <c r="A178" s="30" t="s">
        <v>564</v>
      </c>
      <c r="B178" s="7" t="s">
        <v>311</v>
      </c>
      <c r="C178" s="30">
        <v>1033</v>
      </c>
      <c r="D178" s="30">
        <v>392</v>
      </c>
      <c r="E178" s="30">
        <v>282780</v>
      </c>
      <c r="F178" s="36">
        <f t="shared" si="25"/>
        <v>641</v>
      </c>
    </row>
    <row r="179" spans="1:6" hidden="1" x14ac:dyDescent="0.3">
      <c r="A179" s="30"/>
      <c r="B179" s="7" t="s">
        <v>324</v>
      </c>
      <c r="C179" s="30">
        <v>988</v>
      </c>
      <c r="D179" s="30">
        <v>474</v>
      </c>
      <c r="E179" s="30">
        <v>370070</v>
      </c>
    </row>
    <row r="180" spans="1:6" x14ac:dyDescent="0.3">
      <c r="A180" s="30" t="s">
        <v>565</v>
      </c>
      <c r="B180" s="7" t="s">
        <v>319</v>
      </c>
      <c r="C180" s="30">
        <v>1946</v>
      </c>
      <c r="D180" s="30">
        <v>270</v>
      </c>
      <c r="E180" s="30">
        <v>198350</v>
      </c>
      <c r="F180" s="36">
        <f t="shared" ref="F180:F183" si="26">C180-D180</f>
        <v>1676</v>
      </c>
    </row>
    <row r="181" spans="1:6" x14ac:dyDescent="0.3">
      <c r="A181" s="30" t="s">
        <v>562</v>
      </c>
      <c r="B181" s="7" t="s">
        <v>324</v>
      </c>
      <c r="C181" s="30">
        <v>1957</v>
      </c>
      <c r="D181" s="30">
        <v>490</v>
      </c>
      <c r="E181" s="30">
        <v>435726</v>
      </c>
      <c r="F181" s="36">
        <f t="shared" si="26"/>
        <v>1467</v>
      </c>
    </row>
    <row r="182" spans="1:6" x14ac:dyDescent="0.3">
      <c r="A182" s="30" t="s">
        <v>564</v>
      </c>
      <c r="B182" s="7" t="s">
        <v>319</v>
      </c>
      <c r="C182" s="30">
        <v>559</v>
      </c>
      <c r="D182" s="30">
        <v>392</v>
      </c>
      <c r="E182" s="30">
        <v>78789</v>
      </c>
      <c r="F182" s="36">
        <f t="shared" si="26"/>
        <v>167</v>
      </c>
    </row>
    <row r="183" spans="1:6" x14ac:dyDescent="0.3">
      <c r="A183" s="30" t="s">
        <v>565</v>
      </c>
      <c r="B183" s="7" t="s">
        <v>319</v>
      </c>
      <c r="C183" s="30">
        <v>1307</v>
      </c>
      <c r="D183" s="30">
        <v>278</v>
      </c>
      <c r="E183" s="30">
        <v>98596</v>
      </c>
      <c r="F183" s="36">
        <f t="shared" si="26"/>
        <v>1029</v>
      </c>
    </row>
    <row r="184" spans="1:6" hidden="1" x14ac:dyDescent="0.3">
      <c r="A184" s="30"/>
      <c r="B184" s="7" t="s">
        <v>324</v>
      </c>
      <c r="C184" s="30">
        <v>1432</v>
      </c>
      <c r="D184" s="30">
        <v>425</v>
      </c>
      <c r="E184" s="30">
        <v>29589</v>
      </c>
    </row>
    <row r="185" spans="1:6" x14ac:dyDescent="0.3">
      <c r="A185" s="30" t="s">
        <v>562</v>
      </c>
      <c r="B185" s="7" t="s">
        <v>316</v>
      </c>
      <c r="C185" s="30">
        <v>623</v>
      </c>
      <c r="D185" s="30">
        <v>414</v>
      </c>
      <c r="E185" s="30">
        <v>290354</v>
      </c>
      <c r="F185" s="36">
        <f t="shared" ref="F185:F189" si="27">C185-D185</f>
        <v>209</v>
      </c>
    </row>
    <row r="186" spans="1:6" x14ac:dyDescent="0.3">
      <c r="A186" s="30" t="s">
        <v>564</v>
      </c>
      <c r="B186" s="7" t="s">
        <v>316</v>
      </c>
      <c r="C186" s="30">
        <v>198</v>
      </c>
      <c r="D186" s="30">
        <v>358</v>
      </c>
      <c r="E186" s="30">
        <v>66682</v>
      </c>
      <c r="F186" s="36">
        <f t="shared" si="27"/>
        <v>-160</v>
      </c>
    </row>
    <row r="187" spans="1:6" x14ac:dyDescent="0.3">
      <c r="A187" s="30" t="s">
        <v>565</v>
      </c>
      <c r="B187" s="7" t="s">
        <v>324</v>
      </c>
      <c r="C187" s="30">
        <v>198</v>
      </c>
      <c r="D187" s="30">
        <v>373</v>
      </c>
      <c r="E187" s="30">
        <v>70707</v>
      </c>
      <c r="F187" s="36">
        <f t="shared" si="27"/>
        <v>-175</v>
      </c>
    </row>
    <row r="188" spans="1:6" x14ac:dyDescent="0.3">
      <c r="A188" s="30" t="s">
        <v>563</v>
      </c>
      <c r="B188" s="7" t="s">
        <v>319</v>
      </c>
      <c r="C188" s="30">
        <v>353</v>
      </c>
      <c r="D188" s="30">
        <v>300</v>
      </c>
      <c r="E188" s="30">
        <v>142507</v>
      </c>
      <c r="F188" s="36">
        <f t="shared" si="27"/>
        <v>53</v>
      </c>
    </row>
    <row r="189" spans="1:6" x14ac:dyDescent="0.3">
      <c r="A189" s="30" t="s">
        <v>562</v>
      </c>
      <c r="B189" s="7" t="s">
        <v>311</v>
      </c>
      <c r="C189" s="30">
        <v>520</v>
      </c>
      <c r="D189" s="30">
        <v>375</v>
      </c>
      <c r="E189" s="30">
        <v>369525</v>
      </c>
      <c r="F189" s="36">
        <f t="shared" si="27"/>
        <v>145</v>
      </c>
    </row>
    <row r="190" spans="1:6" hidden="1" x14ac:dyDescent="0.3">
      <c r="A190" s="30"/>
      <c r="B190" s="7" t="s">
        <v>319</v>
      </c>
      <c r="C190" s="30">
        <v>961</v>
      </c>
      <c r="D190" s="30">
        <v>358</v>
      </c>
      <c r="E190" s="30">
        <v>62942</v>
      </c>
    </row>
    <row r="191" spans="1:6" x14ac:dyDescent="0.3">
      <c r="A191" s="30" t="s">
        <v>564</v>
      </c>
      <c r="B191" s="7" t="s">
        <v>324</v>
      </c>
      <c r="C191" s="30">
        <v>1375</v>
      </c>
      <c r="D191" s="30">
        <v>330</v>
      </c>
      <c r="E191" s="30">
        <v>377382</v>
      </c>
      <c r="F191" s="36">
        <f t="shared" ref="F191:F194" si="28">C191-D191</f>
        <v>1045</v>
      </c>
    </row>
    <row r="192" spans="1:6" x14ac:dyDescent="0.3">
      <c r="A192" s="30" t="s">
        <v>564</v>
      </c>
      <c r="B192" s="7" t="s">
        <v>311</v>
      </c>
      <c r="C192" s="30">
        <v>1147</v>
      </c>
      <c r="D192" s="30">
        <v>388</v>
      </c>
      <c r="E192" s="30">
        <v>333851</v>
      </c>
      <c r="F192" s="36">
        <f t="shared" si="28"/>
        <v>759</v>
      </c>
    </row>
    <row r="193" spans="1:6" x14ac:dyDescent="0.3">
      <c r="A193" s="30" t="s">
        <v>563</v>
      </c>
      <c r="B193" s="7" t="s">
        <v>316</v>
      </c>
      <c r="C193" s="30">
        <v>1707</v>
      </c>
      <c r="D193" s="30">
        <v>74</v>
      </c>
      <c r="E193" s="30">
        <v>270958</v>
      </c>
      <c r="F193" s="36">
        <f t="shared" si="28"/>
        <v>1633</v>
      </c>
    </row>
    <row r="194" spans="1:6" x14ac:dyDescent="0.3">
      <c r="A194" s="30" t="s">
        <v>562</v>
      </c>
      <c r="B194" s="7" t="s">
        <v>324</v>
      </c>
      <c r="C194" s="30">
        <v>1693</v>
      </c>
      <c r="D194" s="30">
        <v>154</v>
      </c>
      <c r="E194" s="30">
        <v>445944</v>
      </c>
      <c r="F194" s="36">
        <f t="shared" si="28"/>
        <v>1539</v>
      </c>
    </row>
    <row r="195" spans="1:6" hidden="1" x14ac:dyDescent="0.3">
      <c r="A195" s="30"/>
      <c r="B195" s="7" t="s">
        <v>316</v>
      </c>
      <c r="C195" s="30">
        <v>833</v>
      </c>
      <c r="D195" s="30">
        <v>380</v>
      </c>
      <c r="E195" s="30">
        <v>224830</v>
      </c>
    </row>
    <row r="196" spans="1:6" x14ac:dyDescent="0.3">
      <c r="A196" s="30" t="s">
        <v>564</v>
      </c>
      <c r="B196" s="7" t="s">
        <v>316</v>
      </c>
      <c r="C196" s="30">
        <v>1222</v>
      </c>
      <c r="D196" s="30">
        <v>274</v>
      </c>
      <c r="E196" s="30">
        <v>487289</v>
      </c>
      <c r="F196" s="36">
        <f>C196-D196</f>
        <v>948</v>
      </c>
    </row>
    <row r="197" spans="1:6" hidden="1" x14ac:dyDescent="0.3">
      <c r="A197" s="30"/>
      <c r="B197" s="7" t="s">
        <v>319</v>
      </c>
      <c r="C197" s="30">
        <v>777</v>
      </c>
      <c r="D197" s="30">
        <v>140</v>
      </c>
      <c r="E197" s="30">
        <v>11435</v>
      </c>
    </row>
    <row r="198" spans="1:6" x14ac:dyDescent="0.3">
      <c r="A198" s="30" t="s">
        <v>564</v>
      </c>
      <c r="B198" s="7" t="s">
        <v>311</v>
      </c>
      <c r="C198" s="30">
        <v>1957</v>
      </c>
      <c r="D198" s="30">
        <v>76</v>
      </c>
      <c r="E198" s="30">
        <v>447902</v>
      </c>
      <c r="F198" s="36">
        <f t="shared" ref="F198:F205" si="29">C198-D198</f>
        <v>1881</v>
      </c>
    </row>
    <row r="199" spans="1:6" x14ac:dyDescent="0.3">
      <c r="A199" s="30" t="s">
        <v>562</v>
      </c>
      <c r="B199" s="7" t="s">
        <v>316</v>
      </c>
      <c r="C199" s="30">
        <v>405</v>
      </c>
      <c r="D199" s="30">
        <v>66</v>
      </c>
      <c r="E199" s="30">
        <v>418696</v>
      </c>
      <c r="F199" s="36">
        <f t="shared" si="29"/>
        <v>339</v>
      </c>
    </row>
    <row r="200" spans="1:6" x14ac:dyDescent="0.3">
      <c r="A200" s="30" t="s">
        <v>565</v>
      </c>
      <c r="B200" s="7" t="s">
        <v>319</v>
      </c>
      <c r="C200" s="30">
        <v>1581</v>
      </c>
      <c r="D200" s="30">
        <v>71</v>
      </c>
      <c r="E200" s="30">
        <v>484364</v>
      </c>
      <c r="F200" s="36">
        <f t="shared" si="29"/>
        <v>1510</v>
      </c>
    </row>
    <row r="201" spans="1:6" x14ac:dyDescent="0.3">
      <c r="A201" s="30" t="s">
        <v>564</v>
      </c>
      <c r="B201" s="7" t="s">
        <v>319</v>
      </c>
      <c r="C201" s="30">
        <v>1035</v>
      </c>
      <c r="D201" s="30">
        <v>171</v>
      </c>
      <c r="E201" s="30">
        <v>148477</v>
      </c>
      <c r="F201" s="36">
        <f t="shared" si="29"/>
        <v>864</v>
      </c>
    </row>
    <row r="202" spans="1:6" x14ac:dyDescent="0.3">
      <c r="A202" s="30" t="s">
        <v>562</v>
      </c>
      <c r="B202" s="7" t="s">
        <v>311</v>
      </c>
      <c r="C202" s="30">
        <v>1765</v>
      </c>
      <c r="D202" s="30">
        <v>109</v>
      </c>
      <c r="E202" s="30">
        <v>468301</v>
      </c>
      <c r="F202" s="36">
        <f t="shared" si="29"/>
        <v>1656</v>
      </c>
    </row>
    <row r="203" spans="1:6" x14ac:dyDescent="0.3">
      <c r="A203" s="30" t="s">
        <v>564</v>
      </c>
      <c r="B203" s="7" t="s">
        <v>311</v>
      </c>
      <c r="C203" s="30">
        <v>837</v>
      </c>
      <c r="D203" s="30">
        <v>430</v>
      </c>
      <c r="E203" s="30">
        <v>364820</v>
      </c>
      <c r="F203" s="36">
        <f t="shared" si="29"/>
        <v>407</v>
      </c>
    </row>
    <row r="204" spans="1:6" x14ac:dyDescent="0.3">
      <c r="A204" s="30" t="s">
        <v>563</v>
      </c>
      <c r="B204" s="7" t="s">
        <v>316</v>
      </c>
      <c r="C204" s="30">
        <v>337</v>
      </c>
      <c r="D204" s="30">
        <v>68</v>
      </c>
      <c r="E204" s="30">
        <v>456298</v>
      </c>
      <c r="F204" s="36">
        <f t="shared" si="29"/>
        <v>269</v>
      </c>
    </row>
    <row r="205" spans="1:6" x14ac:dyDescent="0.3">
      <c r="A205" s="30" t="s">
        <v>563</v>
      </c>
      <c r="B205" s="7" t="s">
        <v>324</v>
      </c>
      <c r="C205" s="30">
        <v>119</v>
      </c>
      <c r="D205" s="30">
        <v>456</v>
      </c>
      <c r="E205" s="30">
        <v>82558</v>
      </c>
      <c r="F205" s="36">
        <f t="shared" si="29"/>
        <v>-337</v>
      </c>
    </row>
    <row r="206" spans="1:6" x14ac:dyDescent="0.3">
      <c r="A206" s="30" t="s">
        <v>562</v>
      </c>
      <c r="B206" s="7" t="s">
        <v>311</v>
      </c>
      <c r="F206" t="e">
        <f t="shared" ref="F206:F221" si="30">(C206-D206)/E206</f>
        <v>#DIV/0!</v>
      </c>
    </row>
    <row r="207" spans="1:6" x14ac:dyDescent="0.3">
      <c r="A207" s="30" t="s">
        <v>564</v>
      </c>
      <c r="B207" s="7" t="s">
        <v>324</v>
      </c>
      <c r="F207" t="e">
        <f t="shared" si="30"/>
        <v>#DIV/0!</v>
      </c>
    </row>
    <row r="208" spans="1:6" x14ac:dyDescent="0.3">
      <c r="A208" s="30" t="s">
        <v>562</v>
      </c>
      <c r="B208" s="7" t="s">
        <v>319</v>
      </c>
      <c r="F208" t="e">
        <f t="shared" si="30"/>
        <v>#DIV/0!</v>
      </c>
    </row>
    <row r="209" spans="1:6" x14ac:dyDescent="0.3">
      <c r="A209" s="30" t="s">
        <v>564</v>
      </c>
      <c r="B209" s="7" t="s">
        <v>319</v>
      </c>
      <c r="F209" t="e">
        <f t="shared" si="30"/>
        <v>#DIV/0!</v>
      </c>
    </row>
    <row r="210" spans="1:6" x14ac:dyDescent="0.3">
      <c r="A210" s="30" t="s">
        <v>565</v>
      </c>
      <c r="B210" s="7" t="s">
        <v>311</v>
      </c>
      <c r="F210" t="e">
        <f t="shared" si="30"/>
        <v>#DIV/0!</v>
      </c>
    </row>
    <row r="211" spans="1:6" x14ac:dyDescent="0.3">
      <c r="A211" s="30" t="s">
        <v>562</v>
      </c>
      <c r="B211" s="7" t="s">
        <v>311</v>
      </c>
      <c r="F211" t="e">
        <f t="shared" si="30"/>
        <v>#DIV/0!</v>
      </c>
    </row>
    <row r="212" spans="1:6" x14ac:dyDescent="0.3">
      <c r="A212" s="30" t="s">
        <v>564</v>
      </c>
      <c r="B212" s="7" t="s">
        <v>311</v>
      </c>
      <c r="F212" t="e">
        <f t="shared" si="30"/>
        <v>#DIV/0!</v>
      </c>
    </row>
    <row r="213" spans="1:6" x14ac:dyDescent="0.3">
      <c r="A213" s="30" t="s">
        <v>563</v>
      </c>
      <c r="B213" s="7" t="s">
        <v>316</v>
      </c>
      <c r="F213" t="e">
        <f t="shared" si="30"/>
        <v>#DIV/0!</v>
      </c>
    </row>
    <row r="214" spans="1:6" x14ac:dyDescent="0.3">
      <c r="A214" s="30" t="s">
        <v>565</v>
      </c>
      <c r="B214" s="7" t="s">
        <v>311</v>
      </c>
      <c r="F214" t="e">
        <f t="shared" si="30"/>
        <v>#DIV/0!</v>
      </c>
    </row>
    <row r="215" spans="1:6" x14ac:dyDescent="0.3">
      <c r="A215" s="30" t="s">
        <v>562</v>
      </c>
      <c r="B215" s="7" t="s">
        <v>316</v>
      </c>
      <c r="F215" t="e">
        <f t="shared" si="30"/>
        <v>#DIV/0!</v>
      </c>
    </row>
    <row r="216" spans="1:6" x14ac:dyDescent="0.3">
      <c r="A216" s="30" t="s">
        <v>565</v>
      </c>
      <c r="B216" s="7" t="s">
        <v>311</v>
      </c>
      <c r="F216" t="e">
        <f t="shared" si="30"/>
        <v>#DIV/0!</v>
      </c>
    </row>
    <row r="217" spans="1:6" x14ac:dyDescent="0.3">
      <c r="A217" s="30" t="s">
        <v>563</v>
      </c>
      <c r="B217" s="7" t="s">
        <v>316</v>
      </c>
      <c r="F217" t="e">
        <f t="shared" si="30"/>
        <v>#DIV/0!</v>
      </c>
    </row>
    <row r="218" spans="1:6" x14ac:dyDescent="0.3">
      <c r="A218" s="30" t="s">
        <v>565</v>
      </c>
      <c r="B218" s="7" t="s">
        <v>324</v>
      </c>
      <c r="F218" t="e">
        <f t="shared" si="30"/>
        <v>#DIV/0!</v>
      </c>
    </row>
    <row r="219" spans="1:6" x14ac:dyDescent="0.3">
      <c r="A219" s="30" t="s">
        <v>563</v>
      </c>
      <c r="B219" s="7" t="s">
        <v>319</v>
      </c>
      <c r="F219" t="e">
        <f t="shared" si="30"/>
        <v>#DIV/0!</v>
      </c>
    </row>
    <row r="220" spans="1:6" x14ac:dyDescent="0.3">
      <c r="A220" s="30" t="s">
        <v>563</v>
      </c>
      <c r="B220" s="7" t="s">
        <v>324</v>
      </c>
      <c r="F220" t="e">
        <f t="shared" si="30"/>
        <v>#DIV/0!</v>
      </c>
    </row>
    <row r="221" spans="1:6" x14ac:dyDescent="0.3">
      <c r="A221" s="30" t="s">
        <v>563</v>
      </c>
      <c r="B221" s="7" t="s">
        <v>316</v>
      </c>
      <c r="F221" t="e">
        <f t="shared" si="30"/>
        <v>#DIV/0!</v>
      </c>
    </row>
    <row r="222" spans="1:6" hidden="1" x14ac:dyDescent="0.3">
      <c r="A222" s="30"/>
      <c r="B222" s="7" t="s">
        <v>324</v>
      </c>
    </row>
    <row r="223" spans="1:6" x14ac:dyDescent="0.3">
      <c r="A223" s="30" t="s">
        <v>565</v>
      </c>
      <c r="B223" s="7" t="s">
        <v>324</v>
      </c>
      <c r="F223" t="e">
        <f t="shared" ref="F223:F224" si="31">(C223-D223)/E223</f>
        <v>#DIV/0!</v>
      </c>
    </row>
    <row r="224" spans="1:6" x14ac:dyDescent="0.3">
      <c r="A224" s="30" t="s">
        <v>565</v>
      </c>
      <c r="B224" s="7" t="s">
        <v>311</v>
      </c>
      <c r="F224" t="e">
        <f t="shared" si="31"/>
        <v>#DIV/0!</v>
      </c>
    </row>
    <row r="225" spans="1:6" hidden="1" x14ac:dyDescent="0.3">
      <c r="A225" s="30"/>
      <c r="B225" s="7" t="s">
        <v>319</v>
      </c>
    </row>
    <row r="226" spans="1:6" hidden="1" x14ac:dyDescent="0.3">
      <c r="A226" s="30"/>
      <c r="B226" s="7" t="s">
        <v>324</v>
      </c>
    </row>
    <row r="227" spans="1:6" x14ac:dyDescent="0.3">
      <c r="A227" s="30" t="s">
        <v>562</v>
      </c>
      <c r="B227" s="7" t="s">
        <v>324</v>
      </c>
      <c r="F227" t="e">
        <f>(C227-D227)/E227</f>
        <v>#DIV/0!</v>
      </c>
    </row>
    <row r="228" spans="1:6" hidden="1" x14ac:dyDescent="0.3">
      <c r="A228" s="30"/>
      <c r="B228" s="7" t="s">
        <v>311</v>
      </c>
    </row>
    <row r="229" spans="1:6" x14ac:dyDescent="0.3">
      <c r="A229" s="30" t="s">
        <v>564</v>
      </c>
      <c r="B229" s="7" t="s">
        <v>324</v>
      </c>
      <c r="F229" t="e">
        <f>(C229-D229)/E229</f>
        <v>#DIV/0!</v>
      </c>
    </row>
    <row r="230" spans="1:6" hidden="1" x14ac:dyDescent="0.3">
      <c r="A230" s="30"/>
      <c r="B230" s="7" t="s">
        <v>311</v>
      </c>
    </row>
    <row r="231" spans="1:6" hidden="1" x14ac:dyDescent="0.3">
      <c r="A231" s="30"/>
      <c r="B231" s="7" t="s">
        <v>319</v>
      </c>
    </row>
    <row r="232" spans="1:6" x14ac:dyDescent="0.3">
      <c r="A232" s="30" t="s">
        <v>564</v>
      </c>
      <c r="B232" s="7" t="s">
        <v>319</v>
      </c>
      <c r="F232" t="e">
        <f t="shared" ref="F232:F233" si="32">(C232-D232)/E232</f>
        <v>#DIV/0!</v>
      </c>
    </row>
    <row r="233" spans="1:6" x14ac:dyDescent="0.3">
      <c r="A233" s="30" t="s">
        <v>562</v>
      </c>
      <c r="B233" s="7" t="s">
        <v>319</v>
      </c>
      <c r="F233" t="e">
        <f t="shared" si="32"/>
        <v>#DIV/0!</v>
      </c>
    </row>
    <row r="234" spans="1:6" hidden="1" x14ac:dyDescent="0.3">
      <c r="A234" s="30"/>
      <c r="B234" s="7" t="s">
        <v>319</v>
      </c>
    </row>
    <row r="235" spans="1:6" x14ac:dyDescent="0.3">
      <c r="A235" s="30" t="s">
        <v>564</v>
      </c>
      <c r="B235" s="7" t="s">
        <v>324</v>
      </c>
      <c r="F235" t="e">
        <f t="shared" ref="F235:F238" si="33">(C235-D235)/E235</f>
        <v>#DIV/0!</v>
      </c>
    </row>
    <row r="236" spans="1:6" x14ac:dyDescent="0.3">
      <c r="A236" s="30" t="s">
        <v>562</v>
      </c>
      <c r="B236" s="7" t="s">
        <v>319</v>
      </c>
      <c r="F236" t="e">
        <f t="shared" si="33"/>
        <v>#DIV/0!</v>
      </c>
    </row>
    <row r="237" spans="1:6" x14ac:dyDescent="0.3">
      <c r="A237" s="30" t="s">
        <v>565</v>
      </c>
      <c r="B237" s="7" t="s">
        <v>311</v>
      </c>
      <c r="F237" t="e">
        <f t="shared" si="33"/>
        <v>#DIV/0!</v>
      </c>
    </row>
    <row r="238" spans="1:6" x14ac:dyDescent="0.3">
      <c r="A238" s="30" t="s">
        <v>565</v>
      </c>
      <c r="B238" s="7" t="s">
        <v>324</v>
      </c>
      <c r="F238" t="e">
        <f t="shared" si="33"/>
        <v>#DIV/0!</v>
      </c>
    </row>
    <row r="239" spans="1:6" hidden="1" x14ac:dyDescent="0.3">
      <c r="A239" s="30"/>
      <c r="B239" s="7" t="s">
        <v>324</v>
      </c>
    </row>
    <row r="240" spans="1:6" x14ac:dyDescent="0.3">
      <c r="A240" s="30" t="s">
        <v>564</v>
      </c>
      <c r="B240" s="7" t="s">
        <v>324</v>
      </c>
      <c r="F240" t="e">
        <f t="shared" ref="F240:F243" si="34">(C240-D240)/E240</f>
        <v>#DIV/0!</v>
      </c>
    </row>
    <row r="241" spans="1:6" x14ac:dyDescent="0.3">
      <c r="A241" s="30" t="s">
        <v>563</v>
      </c>
      <c r="B241" s="7" t="s">
        <v>324</v>
      </c>
      <c r="F241" t="e">
        <f t="shared" si="34"/>
        <v>#DIV/0!</v>
      </c>
    </row>
    <row r="242" spans="1:6" x14ac:dyDescent="0.3">
      <c r="A242" s="30" t="s">
        <v>562</v>
      </c>
      <c r="B242" s="7" t="s">
        <v>319</v>
      </c>
      <c r="F242" t="e">
        <f t="shared" si="34"/>
        <v>#DIV/0!</v>
      </c>
    </row>
    <row r="243" spans="1:6" x14ac:dyDescent="0.3">
      <c r="A243" s="30" t="s">
        <v>565</v>
      </c>
      <c r="B243" s="7" t="s">
        <v>311</v>
      </c>
      <c r="F243" t="e">
        <f t="shared" si="34"/>
        <v>#DIV/0!</v>
      </c>
    </row>
    <row r="244" spans="1:6" hidden="1" x14ac:dyDescent="0.3">
      <c r="A244" s="30"/>
      <c r="B244" s="7" t="s">
        <v>316</v>
      </c>
    </row>
    <row r="245" spans="1:6" x14ac:dyDescent="0.3">
      <c r="A245" s="30" t="s">
        <v>564</v>
      </c>
      <c r="B245" s="7" t="s">
        <v>311</v>
      </c>
      <c r="F245" t="e">
        <f t="shared" ref="F245:F251" si="35">(C245-D245)/E245</f>
        <v>#DIV/0!</v>
      </c>
    </row>
    <row r="246" spans="1:6" x14ac:dyDescent="0.3">
      <c r="A246" s="30" t="s">
        <v>565</v>
      </c>
      <c r="B246" s="7" t="s">
        <v>324</v>
      </c>
      <c r="F246" t="e">
        <f t="shared" si="35"/>
        <v>#DIV/0!</v>
      </c>
    </row>
    <row r="247" spans="1:6" x14ac:dyDescent="0.3">
      <c r="A247" s="30" t="s">
        <v>564</v>
      </c>
      <c r="B247" s="7" t="s">
        <v>324</v>
      </c>
      <c r="F247" t="e">
        <f t="shared" si="35"/>
        <v>#DIV/0!</v>
      </c>
    </row>
    <row r="248" spans="1:6" x14ac:dyDescent="0.3">
      <c r="A248" s="30" t="s">
        <v>565</v>
      </c>
      <c r="B248" s="7" t="s">
        <v>311</v>
      </c>
      <c r="F248" t="e">
        <f t="shared" si="35"/>
        <v>#DIV/0!</v>
      </c>
    </row>
    <row r="249" spans="1:6" x14ac:dyDescent="0.3">
      <c r="A249" s="30" t="s">
        <v>564</v>
      </c>
      <c r="B249" s="7" t="s">
        <v>316</v>
      </c>
      <c r="F249" t="e">
        <f t="shared" si="35"/>
        <v>#DIV/0!</v>
      </c>
    </row>
    <row r="250" spans="1:6" x14ac:dyDescent="0.3">
      <c r="A250" s="30" t="s">
        <v>562</v>
      </c>
      <c r="B250" s="7" t="s">
        <v>324</v>
      </c>
      <c r="F250" t="e">
        <f t="shared" si="35"/>
        <v>#DIV/0!</v>
      </c>
    </row>
    <row r="251" spans="1:6" x14ac:dyDescent="0.3">
      <c r="A251" s="30" t="s">
        <v>563</v>
      </c>
      <c r="B251" s="7" t="s">
        <v>324</v>
      </c>
      <c r="F251" t="e">
        <f t="shared" si="35"/>
        <v>#DIV/0!</v>
      </c>
    </row>
    <row r="252" spans="1:6" hidden="1" x14ac:dyDescent="0.3">
      <c r="A252" s="30"/>
      <c r="B252" s="7" t="s">
        <v>324</v>
      </c>
    </row>
    <row r="253" spans="1:6" hidden="1" x14ac:dyDescent="0.3">
      <c r="A253" s="30"/>
      <c r="B253" s="7" t="s">
        <v>324</v>
      </c>
    </row>
    <row r="254" spans="1:6" x14ac:dyDescent="0.3">
      <c r="A254" s="30" t="s">
        <v>563</v>
      </c>
      <c r="B254" s="7" t="s">
        <v>311</v>
      </c>
      <c r="F254" t="e">
        <f>(C254-D254)/E254</f>
        <v>#DIV/0!</v>
      </c>
    </row>
    <row r="255" spans="1:6" hidden="1" x14ac:dyDescent="0.3">
      <c r="A255" s="30"/>
      <c r="B255" s="7" t="s">
        <v>324</v>
      </c>
    </row>
    <row r="256" spans="1:6" hidden="1" x14ac:dyDescent="0.3">
      <c r="A256" s="30"/>
      <c r="B256" s="7" t="s">
        <v>319</v>
      </c>
    </row>
    <row r="257" spans="1:6" x14ac:dyDescent="0.3">
      <c r="A257" s="30" t="s">
        <v>564</v>
      </c>
      <c r="B257" s="7" t="s">
        <v>324</v>
      </c>
      <c r="F257" t="e">
        <f>(C257-D257)/E257</f>
        <v>#DIV/0!</v>
      </c>
    </row>
    <row r="258" spans="1:6" hidden="1" x14ac:dyDescent="0.3">
      <c r="A258" s="30"/>
      <c r="B258" s="7" t="s">
        <v>311</v>
      </c>
    </row>
    <row r="259" spans="1:6" x14ac:dyDescent="0.3">
      <c r="A259" s="30" t="s">
        <v>563</v>
      </c>
      <c r="B259" s="7" t="s">
        <v>311</v>
      </c>
      <c r="F259" t="e">
        <f t="shared" ref="F259:F266" si="36">(C259-D259)/E259</f>
        <v>#DIV/0!</v>
      </c>
    </row>
    <row r="260" spans="1:6" x14ac:dyDescent="0.3">
      <c r="A260" s="30" t="s">
        <v>565</v>
      </c>
      <c r="B260" s="7" t="s">
        <v>324</v>
      </c>
      <c r="F260" t="e">
        <f t="shared" si="36"/>
        <v>#DIV/0!</v>
      </c>
    </row>
    <row r="261" spans="1:6" x14ac:dyDescent="0.3">
      <c r="A261" s="30" t="s">
        <v>563</v>
      </c>
      <c r="B261" s="7" t="s">
        <v>316</v>
      </c>
      <c r="F261" t="e">
        <f t="shared" si="36"/>
        <v>#DIV/0!</v>
      </c>
    </row>
    <row r="262" spans="1:6" x14ac:dyDescent="0.3">
      <c r="A262" s="30" t="s">
        <v>563</v>
      </c>
      <c r="B262" s="7" t="s">
        <v>324</v>
      </c>
      <c r="F262" t="e">
        <f t="shared" si="36"/>
        <v>#DIV/0!</v>
      </c>
    </row>
    <row r="263" spans="1:6" x14ac:dyDescent="0.3">
      <c r="A263" s="30" t="s">
        <v>563</v>
      </c>
      <c r="B263" s="7" t="s">
        <v>319</v>
      </c>
      <c r="F263" t="e">
        <f t="shared" si="36"/>
        <v>#DIV/0!</v>
      </c>
    </row>
    <row r="264" spans="1:6" x14ac:dyDescent="0.3">
      <c r="A264" s="30" t="s">
        <v>562</v>
      </c>
      <c r="B264" s="7" t="s">
        <v>324</v>
      </c>
      <c r="F264" t="e">
        <f t="shared" si="36"/>
        <v>#DIV/0!</v>
      </c>
    </row>
    <row r="265" spans="1:6" x14ac:dyDescent="0.3">
      <c r="A265" s="30" t="s">
        <v>564</v>
      </c>
      <c r="B265" s="7" t="s">
        <v>319</v>
      </c>
      <c r="F265" t="e">
        <f t="shared" si="36"/>
        <v>#DIV/0!</v>
      </c>
    </row>
    <row r="266" spans="1:6" x14ac:dyDescent="0.3">
      <c r="A266" s="30" t="s">
        <v>562</v>
      </c>
      <c r="B266" s="7" t="s">
        <v>319</v>
      </c>
      <c r="F266" t="e">
        <f t="shared" si="36"/>
        <v>#DIV/0!</v>
      </c>
    </row>
    <row r="267" spans="1:6" hidden="1" x14ac:dyDescent="0.3">
      <c r="A267" s="30"/>
      <c r="B267" s="7" t="s">
        <v>316</v>
      </c>
    </row>
    <row r="268" spans="1:6" x14ac:dyDescent="0.3">
      <c r="A268" s="30" t="s">
        <v>563</v>
      </c>
      <c r="B268" s="7" t="s">
        <v>319</v>
      </c>
      <c r="F268" t="e">
        <f t="shared" ref="F268:F271" si="37">(C268-D268)/E268</f>
        <v>#DIV/0!</v>
      </c>
    </row>
    <row r="269" spans="1:6" x14ac:dyDescent="0.3">
      <c r="A269" s="30" t="s">
        <v>563</v>
      </c>
      <c r="B269" s="7" t="s">
        <v>311</v>
      </c>
      <c r="F269" t="e">
        <f t="shared" si="37"/>
        <v>#DIV/0!</v>
      </c>
    </row>
    <row r="270" spans="1:6" x14ac:dyDescent="0.3">
      <c r="A270" s="30" t="s">
        <v>565</v>
      </c>
      <c r="B270" s="7" t="s">
        <v>311</v>
      </c>
      <c r="F270" t="e">
        <f t="shared" si="37"/>
        <v>#DIV/0!</v>
      </c>
    </row>
    <row r="271" spans="1:6" x14ac:dyDescent="0.3">
      <c r="A271" s="30" t="s">
        <v>564</v>
      </c>
      <c r="B271" s="7" t="s">
        <v>324</v>
      </c>
      <c r="F271" t="e">
        <f t="shared" si="37"/>
        <v>#DIV/0!</v>
      </c>
    </row>
    <row r="272" spans="1:6" hidden="1" x14ac:dyDescent="0.3">
      <c r="A272" s="30"/>
      <c r="B272" s="7" t="s">
        <v>311</v>
      </c>
    </row>
    <row r="273" spans="1:6" x14ac:dyDescent="0.3">
      <c r="A273" s="30" t="s">
        <v>562</v>
      </c>
      <c r="B273" s="7" t="s">
        <v>319</v>
      </c>
      <c r="F273" t="e">
        <f t="shared" ref="F273:F289" si="38">(C273-D273)/E273</f>
        <v>#DIV/0!</v>
      </c>
    </row>
    <row r="274" spans="1:6" x14ac:dyDescent="0.3">
      <c r="A274" s="30" t="s">
        <v>563</v>
      </c>
      <c r="B274" s="7" t="s">
        <v>319</v>
      </c>
      <c r="F274" t="e">
        <f t="shared" si="38"/>
        <v>#DIV/0!</v>
      </c>
    </row>
    <row r="275" spans="1:6" x14ac:dyDescent="0.3">
      <c r="A275" s="30" t="s">
        <v>564</v>
      </c>
      <c r="B275" s="7" t="s">
        <v>316</v>
      </c>
      <c r="F275" t="e">
        <f t="shared" si="38"/>
        <v>#DIV/0!</v>
      </c>
    </row>
    <row r="276" spans="1:6" x14ac:dyDescent="0.3">
      <c r="A276" s="30" t="s">
        <v>563</v>
      </c>
      <c r="B276" s="7" t="s">
        <v>319</v>
      </c>
      <c r="F276" t="e">
        <f t="shared" si="38"/>
        <v>#DIV/0!</v>
      </c>
    </row>
    <row r="277" spans="1:6" x14ac:dyDescent="0.3">
      <c r="A277" s="30" t="s">
        <v>564</v>
      </c>
      <c r="B277" s="7" t="s">
        <v>319</v>
      </c>
      <c r="F277" t="e">
        <f t="shared" si="38"/>
        <v>#DIV/0!</v>
      </c>
    </row>
    <row r="278" spans="1:6" x14ac:dyDescent="0.3">
      <c r="A278" s="30" t="s">
        <v>565</v>
      </c>
      <c r="B278" s="7" t="s">
        <v>316</v>
      </c>
      <c r="F278" t="e">
        <f t="shared" si="38"/>
        <v>#DIV/0!</v>
      </c>
    </row>
    <row r="279" spans="1:6" x14ac:dyDescent="0.3">
      <c r="A279" s="30" t="s">
        <v>565</v>
      </c>
      <c r="B279" s="7" t="s">
        <v>311</v>
      </c>
      <c r="F279" t="e">
        <f t="shared" si="38"/>
        <v>#DIV/0!</v>
      </c>
    </row>
    <row r="280" spans="1:6" x14ac:dyDescent="0.3">
      <c r="A280" s="30" t="s">
        <v>564</v>
      </c>
      <c r="B280" s="7" t="s">
        <v>324</v>
      </c>
      <c r="F280" t="e">
        <f t="shared" si="38"/>
        <v>#DIV/0!</v>
      </c>
    </row>
    <row r="281" spans="1:6" x14ac:dyDescent="0.3">
      <c r="A281" s="30" t="s">
        <v>563</v>
      </c>
      <c r="B281" s="7" t="s">
        <v>311</v>
      </c>
      <c r="F281" t="e">
        <f t="shared" si="38"/>
        <v>#DIV/0!</v>
      </c>
    </row>
    <row r="282" spans="1:6" x14ac:dyDescent="0.3">
      <c r="A282" s="30" t="s">
        <v>562</v>
      </c>
      <c r="B282" s="7" t="s">
        <v>324</v>
      </c>
      <c r="F282" t="e">
        <f t="shared" si="38"/>
        <v>#DIV/0!</v>
      </c>
    </row>
    <row r="283" spans="1:6" x14ac:dyDescent="0.3">
      <c r="A283" s="30" t="s">
        <v>565</v>
      </c>
      <c r="B283" s="7" t="s">
        <v>311</v>
      </c>
      <c r="F283" t="e">
        <f t="shared" si="38"/>
        <v>#DIV/0!</v>
      </c>
    </row>
    <row r="284" spans="1:6" x14ac:dyDescent="0.3">
      <c r="A284" s="30" t="s">
        <v>563</v>
      </c>
      <c r="B284" s="7" t="s">
        <v>316</v>
      </c>
      <c r="F284" t="e">
        <f t="shared" si="38"/>
        <v>#DIV/0!</v>
      </c>
    </row>
    <row r="285" spans="1:6" x14ac:dyDescent="0.3">
      <c r="A285" s="30" t="s">
        <v>565</v>
      </c>
      <c r="B285" s="7" t="s">
        <v>316</v>
      </c>
      <c r="F285" t="e">
        <f t="shared" si="38"/>
        <v>#DIV/0!</v>
      </c>
    </row>
    <row r="286" spans="1:6" x14ac:dyDescent="0.3">
      <c r="A286" s="30" t="s">
        <v>563</v>
      </c>
      <c r="B286" s="7" t="s">
        <v>316</v>
      </c>
      <c r="F286" t="e">
        <f t="shared" si="38"/>
        <v>#DIV/0!</v>
      </c>
    </row>
    <row r="287" spans="1:6" x14ac:dyDescent="0.3">
      <c r="A287" s="30" t="s">
        <v>564</v>
      </c>
      <c r="B287" s="7" t="s">
        <v>319</v>
      </c>
      <c r="F287" t="e">
        <f t="shared" si="38"/>
        <v>#DIV/0!</v>
      </c>
    </row>
    <row r="288" spans="1:6" x14ac:dyDescent="0.3">
      <c r="A288" s="30" t="s">
        <v>563</v>
      </c>
      <c r="B288" s="7" t="s">
        <v>311</v>
      </c>
      <c r="F288" t="e">
        <f t="shared" si="38"/>
        <v>#DIV/0!</v>
      </c>
    </row>
    <row r="289" spans="1:6" x14ac:dyDescent="0.3">
      <c r="A289" s="30" t="s">
        <v>565</v>
      </c>
      <c r="B289" s="7" t="s">
        <v>311</v>
      </c>
      <c r="F289" t="e">
        <f t="shared" si="38"/>
        <v>#DIV/0!</v>
      </c>
    </row>
    <row r="290" spans="1:6" hidden="1" x14ac:dyDescent="0.3">
      <c r="A290" s="30"/>
      <c r="B290" s="7" t="s">
        <v>316</v>
      </c>
    </row>
    <row r="291" spans="1:6" x14ac:dyDescent="0.3">
      <c r="A291" s="30" t="s">
        <v>564</v>
      </c>
      <c r="B291" s="7" t="s">
        <v>316</v>
      </c>
      <c r="F291" t="e">
        <f t="shared" ref="F291:F293" si="39">(C291-D291)/E291</f>
        <v>#DIV/0!</v>
      </c>
    </row>
    <row r="292" spans="1:6" x14ac:dyDescent="0.3">
      <c r="A292" s="30" t="s">
        <v>562</v>
      </c>
      <c r="B292" s="7" t="s">
        <v>319</v>
      </c>
      <c r="F292" t="e">
        <f t="shared" si="39"/>
        <v>#DIV/0!</v>
      </c>
    </row>
    <row r="293" spans="1:6" x14ac:dyDescent="0.3">
      <c r="A293" s="30" t="s">
        <v>564</v>
      </c>
      <c r="B293" s="7" t="s">
        <v>316</v>
      </c>
      <c r="F293" t="e">
        <f t="shared" si="39"/>
        <v>#DIV/0!</v>
      </c>
    </row>
    <row r="294" spans="1:6" hidden="1" x14ac:dyDescent="0.3">
      <c r="A294" s="30"/>
      <c r="B294" s="7" t="s">
        <v>324</v>
      </c>
    </row>
    <row r="295" spans="1:6" x14ac:dyDescent="0.3">
      <c r="A295" s="30" t="s">
        <v>565</v>
      </c>
      <c r="B295" s="7" t="s">
        <v>319</v>
      </c>
      <c r="F295" t="e">
        <f t="shared" ref="F295:F296" si="40">(C295-D295)/E295</f>
        <v>#DIV/0!</v>
      </c>
    </row>
    <row r="296" spans="1:6" x14ac:dyDescent="0.3">
      <c r="A296" s="30" t="s">
        <v>565</v>
      </c>
      <c r="B296" s="7" t="s">
        <v>324</v>
      </c>
      <c r="F296" t="e">
        <f t="shared" si="40"/>
        <v>#DIV/0!</v>
      </c>
    </row>
    <row r="297" spans="1:6" hidden="1" x14ac:dyDescent="0.3">
      <c r="A297" s="30"/>
      <c r="B297" s="7" t="s">
        <v>324</v>
      </c>
    </row>
    <row r="298" spans="1:6" x14ac:dyDescent="0.3">
      <c r="A298" s="30" t="s">
        <v>562</v>
      </c>
      <c r="B298" s="7" t="s">
        <v>324</v>
      </c>
      <c r="F298" t="e">
        <f t="shared" ref="F298:F305" si="41">(C298-D298)/E298</f>
        <v>#DIV/0!</v>
      </c>
    </row>
    <row r="299" spans="1:6" x14ac:dyDescent="0.3">
      <c r="A299" s="30" t="s">
        <v>564</v>
      </c>
      <c r="B299" s="7" t="s">
        <v>324</v>
      </c>
      <c r="F299" t="e">
        <f t="shared" si="41"/>
        <v>#DIV/0!</v>
      </c>
    </row>
    <row r="300" spans="1:6" x14ac:dyDescent="0.3">
      <c r="A300" s="30" t="s">
        <v>563</v>
      </c>
      <c r="B300" s="7" t="s">
        <v>311</v>
      </c>
      <c r="F300" t="e">
        <f t="shared" si="41"/>
        <v>#DIV/0!</v>
      </c>
    </row>
    <row r="301" spans="1:6" x14ac:dyDescent="0.3">
      <c r="A301" s="30" t="s">
        <v>565</v>
      </c>
      <c r="B301" s="7" t="s">
        <v>311</v>
      </c>
      <c r="F301" t="e">
        <f t="shared" si="41"/>
        <v>#DIV/0!</v>
      </c>
    </row>
    <row r="302" spans="1:6" x14ac:dyDescent="0.3">
      <c r="A302" s="30" t="s">
        <v>565</v>
      </c>
      <c r="B302" s="7" t="s">
        <v>311</v>
      </c>
      <c r="F302" t="e">
        <f t="shared" si="41"/>
        <v>#DIV/0!</v>
      </c>
    </row>
    <row r="303" spans="1:6" x14ac:dyDescent="0.3">
      <c r="A303" s="30" t="s">
        <v>564</v>
      </c>
      <c r="B303" s="7" t="s">
        <v>324</v>
      </c>
      <c r="F303" t="e">
        <f t="shared" si="41"/>
        <v>#DIV/0!</v>
      </c>
    </row>
    <row r="304" spans="1:6" x14ac:dyDescent="0.3">
      <c r="A304" s="30" t="s">
        <v>564</v>
      </c>
      <c r="B304" s="7" t="s">
        <v>324</v>
      </c>
      <c r="F304" t="e">
        <f t="shared" si="41"/>
        <v>#DIV/0!</v>
      </c>
    </row>
    <row r="305" spans="1:6" x14ac:dyDescent="0.3">
      <c r="A305" s="30" t="s">
        <v>562</v>
      </c>
      <c r="B305" s="7" t="s">
        <v>311</v>
      </c>
      <c r="F305" t="e">
        <f t="shared" si="41"/>
        <v>#DIV/0!</v>
      </c>
    </row>
  </sheetData>
  <autoFilter ref="A5:C305" xr:uid="{9C016B62-618E-4F37-B791-E2272AD6BDD7}">
    <filterColumn colId="0">
      <customFilters>
        <customFilter operator="notEqual" val=" "/>
      </customFilters>
    </filterColumn>
  </autoFilter>
  <dataValidations count="1">
    <dataValidation allowBlank="1" showInputMessage="1" showErrorMessage="1" prompt="New_Followers-_x000a_Unfollows" sqref="F5:F205" xr:uid="{3FE45DF6-054C-43D6-A404-4981B91FA7F8}"/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BD537-3EEB-4000-85B3-07C19A0CEC5D}">
  <dimension ref="A1:N305"/>
  <sheetViews>
    <sheetView workbookViewId="0">
      <selection activeCell="I11" sqref="I11"/>
    </sheetView>
  </sheetViews>
  <sheetFormatPr defaultRowHeight="14.4" x14ac:dyDescent="0.3"/>
  <cols>
    <col min="1" max="1" width="12.109375" customWidth="1"/>
    <col min="2" max="2" width="15.6640625" customWidth="1"/>
    <col min="3" max="3" width="16.109375" customWidth="1"/>
    <col min="4" max="4" width="14.21875" customWidth="1"/>
    <col min="5" max="6" width="12.5546875" bestFit="1" customWidth="1"/>
    <col min="7" max="7" width="6.88671875" bestFit="1" customWidth="1"/>
    <col min="8" max="8" width="14" customWidth="1"/>
    <col min="9" max="9" width="20" customWidth="1"/>
    <col min="10" max="132" width="15.5546875" bestFit="1" customWidth="1"/>
    <col min="133" max="133" width="10.77734375" bestFit="1" customWidth="1"/>
  </cols>
  <sheetData>
    <row r="1" spans="1:9" ht="18" x14ac:dyDescent="0.35">
      <c r="C1" s="1" t="s">
        <v>598</v>
      </c>
    </row>
    <row r="5" spans="1:9" x14ac:dyDescent="0.3">
      <c r="A5" s="6" t="s">
        <v>302</v>
      </c>
      <c r="B5" s="6" t="s">
        <v>568</v>
      </c>
      <c r="C5" s="33" t="s">
        <v>592</v>
      </c>
      <c r="D5" s="2" t="s">
        <v>301</v>
      </c>
      <c r="E5" s="4" t="s">
        <v>531</v>
      </c>
      <c r="F5" s="38"/>
    </row>
    <row r="6" spans="1:9" x14ac:dyDescent="0.3">
      <c r="A6" s="7" t="s">
        <v>312</v>
      </c>
      <c r="B6" s="30" t="s">
        <v>405</v>
      </c>
      <c r="C6" s="36">
        <v>1047</v>
      </c>
      <c r="D6" s="5" t="s">
        <v>319</v>
      </c>
      <c r="E6" s="5">
        <v>5904</v>
      </c>
    </row>
    <row r="7" spans="1:9" x14ac:dyDescent="0.3">
      <c r="A7" s="7" t="s">
        <v>314</v>
      </c>
      <c r="B7" s="30" t="s">
        <v>405</v>
      </c>
      <c r="C7" s="36">
        <v>1002</v>
      </c>
      <c r="D7" s="5" t="s">
        <v>324</v>
      </c>
      <c r="E7" s="5">
        <v>9566</v>
      </c>
    </row>
    <row r="8" spans="1:9" x14ac:dyDescent="0.3">
      <c r="A8" s="7" t="s">
        <v>317</v>
      </c>
      <c r="B8" s="30" t="s">
        <v>405</v>
      </c>
      <c r="C8" s="36">
        <v>415</v>
      </c>
      <c r="D8" s="5" t="s">
        <v>311</v>
      </c>
      <c r="E8" s="5">
        <v>26752</v>
      </c>
    </row>
    <row r="9" spans="1:9" x14ac:dyDescent="0.3">
      <c r="A9" s="7" t="s">
        <v>320</v>
      </c>
      <c r="B9" s="30" t="s">
        <v>405</v>
      </c>
      <c r="C9" s="36">
        <v>1090</v>
      </c>
      <c r="D9" s="5" t="s">
        <v>316</v>
      </c>
      <c r="E9" s="5">
        <v>30671</v>
      </c>
      <c r="H9" s="11" t="s">
        <v>533</v>
      </c>
      <c r="I9" t="s">
        <v>593</v>
      </c>
    </row>
    <row r="10" spans="1:9" x14ac:dyDescent="0.3">
      <c r="A10" s="7" t="s">
        <v>323</v>
      </c>
      <c r="B10" s="30" t="s">
        <v>371</v>
      </c>
      <c r="C10" s="36">
        <v>517</v>
      </c>
      <c r="D10" s="5" t="s">
        <v>319</v>
      </c>
      <c r="E10" s="5">
        <v>9920</v>
      </c>
      <c r="H10" s="12" t="s">
        <v>324</v>
      </c>
      <c r="I10">
        <v>33112</v>
      </c>
    </row>
    <row r="11" spans="1:9" x14ac:dyDescent="0.3">
      <c r="A11" s="7" t="s">
        <v>325</v>
      </c>
      <c r="B11" s="30" t="s">
        <v>371</v>
      </c>
      <c r="C11" s="36">
        <v>1283</v>
      </c>
      <c r="D11" s="5" t="s">
        <v>324</v>
      </c>
      <c r="E11" s="5">
        <v>7924</v>
      </c>
      <c r="H11" s="12" t="s">
        <v>319</v>
      </c>
      <c r="I11">
        <v>33638</v>
      </c>
    </row>
    <row r="12" spans="1:9" x14ac:dyDescent="0.3">
      <c r="A12" s="7" t="s">
        <v>327</v>
      </c>
      <c r="B12" s="30" t="s">
        <v>371</v>
      </c>
      <c r="C12" s="36">
        <v>186</v>
      </c>
      <c r="D12" s="5" t="s">
        <v>311</v>
      </c>
      <c r="E12" s="5">
        <v>8912</v>
      </c>
      <c r="H12" s="12" t="s">
        <v>311</v>
      </c>
      <c r="I12">
        <v>28522</v>
      </c>
    </row>
    <row r="13" spans="1:9" x14ac:dyDescent="0.3">
      <c r="A13" s="7" t="s">
        <v>328</v>
      </c>
      <c r="B13" s="30" t="s">
        <v>371</v>
      </c>
      <c r="C13" s="36">
        <v>994</v>
      </c>
      <c r="D13" s="5" t="s">
        <v>316</v>
      </c>
      <c r="E13" s="5">
        <v>21205</v>
      </c>
      <c r="H13" s="12" t="s">
        <v>316</v>
      </c>
      <c r="I13">
        <v>33738</v>
      </c>
    </row>
    <row r="14" spans="1:9" x14ac:dyDescent="0.3">
      <c r="A14" s="7" t="s">
        <v>330</v>
      </c>
      <c r="B14" s="30" t="s">
        <v>376</v>
      </c>
      <c r="C14" s="36">
        <v>893</v>
      </c>
      <c r="D14" s="5" t="s">
        <v>319</v>
      </c>
      <c r="E14" s="5">
        <v>11329</v>
      </c>
      <c r="H14" s="12" t="s">
        <v>532</v>
      </c>
      <c r="I14">
        <v>129010</v>
      </c>
    </row>
    <row r="15" spans="1:9" x14ac:dyDescent="0.3">
      <c r="A15" s="7" t="s">
        <v>331</v>
      </c>
      <c r="B15" s="30" t="s">
        <v>376</v>
      </c>
      <c r="C15" s="36">
        <v>1382</v>
      </c>
      <c r="D15" s="5" t="s">
        <v>324</v>
      </c>
      <c r="E15" s="5">
        <v>46670</v>
      </c>
    </row>
    <row r="16" spans="1:9" x14ac:dyDescent="0.3">
      <c r="A16" s="7" t="s">
        <v>332</v>
      </c>
      <c r="B16" s="30" t="s">
        <v>376</v>
      </c>
      <c r="C16" s="36">
        <v>1295</v>
      </c>
      <c r="D16" s="5" t="s">
        <v>311</v>
      </c>
      <c r="E16" s="5">
        <v>22482</v>
      </c>
    </row>
    <row r="17" spans="1:14" x14ac:dyDescent="0.3">
      <c r="A17" s="7" t="s">
        <v>334</v>
      </c>
      <c r="B17" s="30" t="s">
        <v>376</v>
      </c>
      <c r="C17" s="36">
        <v>337</v>
      </c>
      <c r="D17" s="5" t="s">
        <v>316</v>
      </c>
      <c r="E17" s="5">
        <v>24313</v>
      </c>
    </row>
    <row r="18" spans="1:14" x14ac:dyDescent="0.3">
      <c r="A18" s="7" t="s">
        <v>335</v>
      </c>
      <c r="B18" s="30" t="s">
        <v>327</v>
      </c>
      <c r="C18" s="36">
        <v>629</v>
      </c>
      <c r="D18" s="5" t="s">
        <v>319</v>
      </c>
      <c r="E18" s="5">
        <v>18050</v>
      </c>
    </row>
    <row r="19" spans="1:14" x14ac:dyDescent="0.3">
      <c r="A19" s="7" t="s">
        <v>336</v>
      </c>
      <c r="B19" s="30" t="s">
        <v>327</v>
      </c>
      <c r="C19" s="36">
        <v>835</v>
      </c>
      <c r="D19" s="5" t="s">
        <v>324</v>
      </c>
      <c r="E19" s="5">
        <v>30635</v>
      </c>
    </row>
    <row r="20" spans="1:14" x14ac:dyDescent="0.3">
      <c r="A20" s="7" t="s">
        <v>337</v>
      </c>
      <c r="B20" s="30" t="s">
        <v>327</v>
      </c>
      <c r="C20" s="36">
        <v>-123</v>
      </c>
      <c r="D20" s="5" t="s">
        <v>311</v>
      </c>
      <c r="E20" s="5">
        <v>31280</v>
      </c>
    </row>
    <row r="21" spans="1:14" x14ac:dyDescent="0.3">
      <c r="A21" s="7" t="s">
        <v>339</v>
      </c>
      <c r="B21" s="30" t="s">
        <v>327</v>
      </c>
      <c r="C21" s="36">
        <v>-219</v>
      </c>
      <c r="D21" s="5" t="s">
        <v>316</v>
      </c>
      <c r="E21" s="5">
        <v>1783</v>
      </c>
    </row>
    <row r="22" spans="1:14" x14ac:dyDescent="0.3">
      <c r="A22" s="7" t="s">
        <v>340</v>
      </c>
      <c r="B22" s="30" t="s">
        <v>486</v>
      </c>
      <c r="C22" s="36">
        <v>64</v>
      </c>
      <c r="D22" s="5" t="s">
        <v>319</v>
      </c>
      <c r="E22" s="5">
        <v>9566</v>
      </c>
    </row>
    <row r="23" spans="1:14" x14ac:dyDescent="0.3">
      <c r="A23" s="7" t="s">
        <v>341</v>
      </c>
      <c r="B23" s="30" t="s">
        <v>486</v>
      </c>
      <c r="C23" s="36">
        <v>1357</v>
      </c>
      <c r="D23" s="5" t="s">
        <v>324</v>
      </c>
      <c r="E23" s="5">
        <v>42307</v>
      </c>
    </row>
    <row r="24" spans="1:14" x14ac:dyDescent="0.3">
      <c r="A24" s="7" t="s">
        <v>342</v>
      </c>
      <c r="B24" s="30" t="s">
        <v>486</v>
      </c>
      <c r="C24" s="36">
        <v>91</v>
      </c>
      <c r="D24" s="5" t="s">
        <v>311</v>
      </c>
      <c r="E24" s="5">
        <v>5914</v>
      </c>
      <c r="H24" s="11" t="s">
        <v>533</v>
      </c>
      <c r="I24" t="s">
        <v>593</v>
      </c>
    </row>
    <row r="25" spans="1:14" x14ac:dyDescent="0.3">
      <c r="A25" s="7" t="s">
        <v>343</v>
      </c>
      <c r="B25" s="30" t="s">
        <v>486</v>
      </c>
      <c r="C25" s="36">
        <v>1672</v>
      </c>
      <c r="D25" s="5" t="s">
        <v>316</v>
      </c>
      <c r="E25" s="5">
        <v>30060</v>
      </c>
      <c r="H25" s="12" t="s">
        <v>405</v>
      </c>
      <c r="I25">
        <v>1373</v>
      </c>
    </row>
    <row r="26" spans="1:14" x14ac:dyDescent="0.3">
      <c r="A26" s="7" t="s">
        <v>344</v>
      </c>
      <c r="B26" s="30" t="s">
        <v>569</v>
      </c>
      <c r="C26" s="36">
        <v>309</v>
      </c>
      <c r="D26" s="5" t="s">
        <v>319</v>
      </c>
      <c r="E26" s="5">
        <v>22728</v>
      </c>
      <c r="H26" s="12" t="s">
        <v>440</v>
      </c>
      <c r="I26">
        <v>209</v>
      </c>
    </row>
    <row r="27" spans="1:14" ht="18" x14ac:dyDescent="0.35">
      <c r="A27" s="7" t="s">
        <v>345</v>
      </c>
      <c r="B27" s="30" t="s">
        <v>569</v>
      </c>
      <c r="C27" s="36">
        <v>547</v>
      </c>
      <c r="D27" s="5" t="s">
        <v>324</v>
      </c>
      <c r="E27" s="5">
        <v>38610</v>
      </c>
      <c r="H27" s="12" t="s">
        <v>402</v>
      </c>
      <c r="I27">
        <v>1706</v>
      </c>
      <c r="L27" s="37" t="s">
        <v>594</v>
      </c>
      <c r="M27" s="28"/>
      <c r="N27" s="28"/>
    </row>
    <row r="28" spans="1:14" x14ac:dyDescent="0.3">
      <c r="A28" s="7" t="s">
        <v>346</v>
      </c>
      <c r="B28" s="30" t="s">
        <v>569</v>
      </c>
      <c r="C28" s="36">
        <v>514</v>
      </c>
      <c r="D28" s="5" t="s">
        <v>311</v>
      </c>
      <c r="E28" s="5">
        <v>2932</v>
      </c>
      <c r="H28" s="12" t="s">
        <v>371</v>
      </c>
      <c r="I28">
        <v>3017</v>
      </c>
    </row>
    <row r="29" spans="1:14" x14ac:dyDescent="0.3">
      <c r="A29" s="7" t="s">
        <v>347</v>
      </c>
      <c r="B29" s="30" t="s">
        <v>569</v>
      </c>
      <c r="C29" s="36">
        <v>-164</v>
      </c>
      <c r="D29" s="5" t="s">
        <v>316</v>
      </c>
      <c r="E29" s="5">
        <v>15071</v>
      </c>
      <c r="H29" s="12" t="s">
        <v>414</v>
      </c>
      <c r="I29">
        <v>1188</v>
      </c>
    </row>
    <row r="30" spans="1:14" x14ac:dyDescent="0.3">
      <c r="A30" s="7" t="s">
        <v>348</v>
      </c>
      <c r="B30" s="30" t="s">
        <v>438</v>
      </c>
      <c r="C30" s="36">
        <v>429</v>
      </c>
      <c r="D30" s="5" t="s">
        <v>319</v>
      </c>
      <c r="E30" s="5">
        <v>10740</v>
      </c>
      <c r="H30" s="12" t="s">
        <v>373</v>
      </c>
      <c r="I30">
        <v>449</v>
      </c>
    </row>
    <row r="31" spans="1:14" x14ac:dyDescent="0.3">
      <c r="A31" s="7" t="s">
        <v>349</v>
      </c>
      <c r="B31" s="30" t="s">
        <v>438</v>
      </c>
      <c r="C31" s="36">
        <v>160</v>
      </c>
      <c r="D31" s="5" t="s">
        <v>324</v>
      </c>
      <c r="E31" s="5">
        <v>43420</v>
      </c>
      <c r="H31" s="12" t="s">
        <v>416</v>
      </c>
      <c r="I31">
        <v>1031</v>
      </c>
    </row>
    <row r="32" spans="1:14" x14ac:dyDescent="0.3">
      <c r="A32" s="7" t="s">
        <v>350</v>
      </c>
      <c r="B32" s="30" t="s">
        <v>438</v>
      </c>
      <c r="C32" s="36">
        <v>159</v>
      </c>
      <c r="D32" s="5" t="s">
        <v>311</v>
      </c>
      <c r="E32" s="5">
        <v>32393</v>
      </c>
      <c r="H32" s="12" t="s">
        <v>441</v>
      </c>
      <c r="I32">
        <v>53</v>
      </c>
    </row>
    <row r="33" spans="1:9" x14ac:dyDescent="0.3">
      <c r="A33" s="7" t="s">
        <v>351</v>
      </c>
      <c r="B33" s="30" t="s">
        <v>438</v>
      </c>
      <c r="C33" s="36">
        <v>1316</v>
      </c>
      <c r="D33" s="5" t="s">
        <v>316</v>
      </c>
      <c r="E33" s="5">
        <v>28474</v>
      </c>
      <c r="H33" s="12" t="s">
        <v>376</v>
      </c>
      <c r="I33">
        <v>1131</v>
      </c>
    </row>
    <row r="34" spans="1:9" x14ac:dyDescent="0.3">
      <c r="A34" s="7" t="s">
        <v>352</v>
      </c>
      <c r="B34" s="30" t="s">
        <v>570</v>
      </c>
      <c r="C34" s="36">
        <v>317</v>
      </c>
      <c r="D34" s="5" t="s">
        <v>319</v>
      </c>
      <c r="E34" s="5">
        <v>17328</v>
      </c>
      <c r="H34" s="12" t="s">
        <v>418</v>
      </c>
      <c r="I34">
        <v>1572</v>
      </c>
    </row>
    <row r="35" spans="1:9" x14ac:dyDescent="0.3">
      <c r="A35" s="7" t="s">
        <v>353</v>
      </c>
      <c r="B35" s="30" t="s">
        <v>570</v>
      </c>
      <c r="C35" s="36">
        <v>541</v>
      </c>
      <c r="D35" s="5" t="s">
        <v>324</v>
      </c>
      <c r="E35" s="5">
        <v>26067</v>
      </c>
      <c r="H35" s="12" t="s">
        <v>380</v>
      </c>
      <c r="I35">
        <v>1706</v>
      </c>
    </row>
    <row r="36" spans="1:9" x14ac:dyDescent="0.3">
      <c r="A36" s="7" t="s">
        <v>354</v>
      </c>
      <c r="B36" s="30" t="s">
        <v>570</v>
      </c>
      <c r="C36" s="36">
        <v>-318</v>
      </c>
      <c r="D36" s="5" t="s">
        <v>311</v>
      </c>
      <c r="E36" s="5">
        <v>32763</v>
      </c>
      <c r="H36" s="12" t="s">
        <v>342</v>
      </c>
      <c r="I36">
        <v>91</v>
      </c>
    </row>
    <row r="37" spans="1:9" x14ac:dyDescent="0.3">
      <c r="A37" s="7" t="s">
        <v>355</v>
      </c>
      <c r="B37" s="30" t="s">
        <v>570</v>
      </c>
      <c r="C37" s="36">
        <v>1495</v>
      </c>
      <c r="D37" s="5" t="s">
        <v>316</v>
      </c>
      <c r="E37" s="5">
        <v>26452</v>
      </c>
      <c r="H37" s="12" t="s">
        <v>327</v>
      </c>
      <c r="I37">
        <v>186</v>
      </c>
    </row>
    <row r="38" spans="1:9" x14ac:dyDescent="0.3">
      <c r="A38" s="7" t="s">
        <v>356</v>
      </c>
      <c r="B38" s="30" t="s">
        <v>421</v>
      </c>
      <c r="C38" s="36">
        <v>475</v>
      </c>
      <c r="D38" s="5" t="s">
        <v>319</v>
      </c>
      <c r="E38" s="5">
        <v>15353</v>
      </c>
      <c r="H38" s="12" t="s">
        <v>323</v>
      </c>
      <c r="I38">
        <v>517</v>
      </c>
    </row>
    <row r="39" spans="1:9" x14ac:dyDescent="0.3">
      <c r="A39" s="7" t="s">
        <v>357</v>
      </c>
      <c r="B39" s="30" t="s">
        <v>421</v>
      </c>
      <c r="C39" s="36">
        <v>352</v>
      </c>
      <c r="D39" s="5" t="s">
        <v>324</v>
      </c>
      <c r="E39" s="5">
        <v>4839</v>
      </c>
      <c r="H39" s="12" t="s">
        <v>411</v>
      </c>
      <c r="I39">
        <v>1776</v>
      </c>
    </row>
    <row r="40" spans="1:9" x14ac:dyDescent="0.3">
      <c r="A40" s="7" t="s">
        <v>358</v>
      </c>
      <c r="B40" s="30" t="s">
        <v>421</v>
      </c>
      <c r="C40" s="36">
        <v>-197</v>
      </c>
      <c r="D40" s="5" t="s">
        <v>311</v>
      </c>
      <c r="E40" s="5">
        <v>39272</v>
      </c>
      <c r="H40" s="12" t="s">
        <v>372</v>
      </c>
      <c r="I40">
        <v>1100</v>
      </c>
    </row>
    <row r="41" spans="1:9" x14ac:dyDescent="0.3">
      <c r="A41" s="7" t="s">
        <v>359</v>
      </c>
      <c r="B41" s="30" t="s">
        <v>421</v>
      </c>
      <c r="C41" s="36">
        <v>319</v>
      </c>
      <c r="D41" s="5" t="s">
        <v>316</v>
      </c>
      <c r="E41" s="5">
        <v>16804</v>
      </c>
      <c r="H41" s="12" t="s">
        <v>403</v>
      </c>
      <c r="I41">
        <v>291</v>
      </c>
    </row>
    <row r="42" spans="1:9" x14ac:dyDescent="0.3">
      <c r="A42" s="7" t="s">
        <v>360</v>
      </c>
      <c r="B42" s="30" t="s">
        <v>499</v>
      </c>
      <c r="C42" s="36">
        <v>1325</v>
      </c>
      <c r="D42" s="5" t="s">
        <v>319</v>
      </c>
      <c r="E42" s="5">
        <v>49303</v>
      </c>
      <c r="H42" s="12" t="s">
        <v>436</v>
      </c>
      <c r="I42">
        <v>1385</v>
      </c>
    </row>
    <row r="43" spans="1:9" x14ac:dyDescent="0.3">
      <c r="A43" s="7" t="s">
        <v>361</v>
      </c>
      <c r="B43" s="30" t="s">
        <v>499</v>
      </c>
      <c r="C43" s="36">
        <v>37</v>
      </c>
      <c r="D43" s="5" t="s">
        <v>324</v>
      </c>
      <c r="E43" s="5">
        <v>26455</v>
      </c>
      <c r="H43" s="12" t="s">
        <v>328</v>
      </c>
      <c r="I43">
        <v>994</v>
      </c>
    </row>
    <row r="44" spans="1:9" x14ac:dyDescent="0.3">
      <c r="A44" s="7" t="s">
        <v>362</v>
      </c>
      <c r="B44" s="30" t="s">
        <v>499</v>
      </c>
      <c r="C44" s="36">
        <v>76</v>
      </c>
      <c r="D44" s="5" t="s">
        <v>311</v>
      </c>
      <c r="E44" s="5">
        <v>12384</v>
      </c>
      <c r="H44" s="12" t="s">
        <v>438</v>
      </c>
      <c r="I44">
        <v>389</v>
      </c>
    </row>
    <row r="45" spans="1:9" x14ac:dyDescent="0.3">
      <c r="A45" s="7" t="s">
        <v>363</v>
      </c>
      <c r="B45" s="30" t="s">
        <v>499</v>
      </c>
      <c r="C45" s="36">
        <v>1058</v>
      </c>
      <c r="D45" s="5" t="s">
        <v>316</v>
      </c>
      <c r="E45" s="5">
        <v>49372</v>
      </c>
      <c r="H45" s="12" t="s">
        <v>334</v>
      </c>
      <c r="I45">
        <v>218</v>
      </c>
    </row>
    <row r="46" spans="1:9" x14ac:dyDescent="0.3">
      <c r="A46" s="7" t="s">
        <v>364</v>
      </c>
      <c r="B46" s="30" t="s">
        <v>320</v>
      </c>
      <c r="C46" s="36">
        <v>1609</v>
      </c>
      <c r="D46" s="5" t="s">
        <v>319</v>
      </c>
      <c r="E46" s="5">
        <v>47101</v>
      </c>
      <c r="H46" s="12" t="s">
        <v>447</v>
      </c>
      <c r="I46">
        <v>339</v>
      </c>
    </row>
    <row r="47" spans="1:9" x14ac:dyDescent="0.3">
      <c r="A47" s="7" t="s">
        <v>365</v>
      </c>
      <c r="B47" s="30" t="s">
        <v>320</v>
      </c>
      <c r="C47" s="36">
        <v>37</v>
      </c>
      <c r="D47" s="5" t="s">
        <v>324</v>
      </c>
      <c r="E47" s="5">
        <v>37903</v>
      </c>
      <c r="H47" s="12" t="s">
        <v>398</v>
      </c>
      <c r="I47">
        <v>1693</v>
      </c>
    </row>
    <row r="48" spans="1:9" x14ac:dyDescent="0.3">
      <c r="A48" s="7" t="s">
        <v>366</v>
      </c>
      <c r="B48" s="30" t="s">
        <v>320</v>
      </c>
      <c r="C48" s="36">
        <v>1229</v>
      </c>
      <c r="D48" s="5" t="s">
        <v>311</v>
      </c>
      <c r="E48" s="5">
        <v>33258</v>
      </c>
      <c r="H48" s="12" t="s">
        <v>386</v>
      </c>
      <c r="I48">
        <v>1307</v>
      </c>
    </row>
    <row r="49" spans="1:14" x14ac:dyDescent="0.3">
      <c r="A49" s="7" t="s">
        <v>367</v>
      </c>
      <c r="B49" s="30" t="s">
        <v>320</v>
      </c>
      <c r="C49" s="36">
        <v>28</v>
      </c>
      <c r="D49" s="5" t="s">
        <v>316</v>
      </c>
      <c r="E49" s="5">
        <v>6915</v>
      </c>
      <c r="H49" s="12" t="s">
        <v>421</v>
      </c>
      <c r="I49">
        <v>2314</v>
      </c>
    </row>
    <row r="50" spans="1:14" x14ac:dyDescent="0.3">
      <c r="A50" s="7" t="s">
        <v>368</v>
      </c>
      <c r="B50" s="30" t="s">
        <v>341</v>
      </c>
      <c r="C50" s="36">
        <v>1045</v>
      </c>
      <c r="D50" s="5" t="s">
        <v>319</v>
      </c>
      <c r="E50" s="5">
        <v>35501</v>
      </c>
      <c r="H50" s="12" t="s">
        <v>355</v>
      </c>
      <c r="I50">
        <v>2074</v>
      </c>
    </row>
    <row r="51" spans="1:14" x14ac:dyDescent="0.3">
      <c r="A51" s="7" t="s">
        <v>369</v>
      </c>
      <c r="B51" s="30" t="s">
        <v>341</v>
      </c>
      <c r="C51" s="36">
        <v>197</v>
      </c>
      <c r="D51" s="5" t="s">
        <v>324</v>
      </c>
      <c r="E51" s="5">
        <v>14203</v>
      </c>
      <c r="H51" s="12" t="s">
        <v>394</v>
      </c>
      <c r="I51">
        <v>1044</v>
      </c>
    </row>
    <row r="52" spans="1:14" x14ac:dyDescent="0.3">
      <c r="A52" s="7" t="s">
        <v>370</v>
      </c>
      <c r="B52" s="30" t="s">
        <v>341</v>
      </c>
      <c r="C52" s="36">
        <v>333</v>
      </c>
      <c r="D52" s="5" t="s">
        <v>311</v>
      </c>
      <c r="E52" s="5">
        <v>22206</v>
      </c>
      <c r="H52" s="12" t="s">
        <v>420</v>
      </c>
      <c r="I52">
        <v>891</v>
      </c>
    </row>
    <row r="53" spans="1:14" x14ac:dyDescent="0.3">
      <c r="A53" s="7" t="s">
        <v>331</v>
      </c>
      <c r="B53" s="30" t="s">
        <v>341</v>
      </c>
      <c r="C53" s="36">
        <v>1572</v>
      </c>
      <c r="D53" s="5" t="s">
        <v>316</v>
      </c>
      <c r="E53" s="5">
        <v>10283</v>
      </c>
      <c r="H53" s="12" t="s">
        <v>448</v>
      </c>
      <c r="I53">
        <v>1510</v>
      </c>
    </row>
    <row r="54" spans="1:14" ht="18" x14ac:dyDescent="0.35">
      <c r="A54" s="7" t="s">
        <v>371</v>
      </c>
      <c r="B54" s="30" t="s">
        <v>339</v>
      </c>
      <c r="C54" s="36">
        <v>1428</v>
      </c>
      <c r="D54" s="5" t="s">
        <v>319</v>
      </c>
      <c r="E54" s="5">
        <v>24913</v>
      </c>
      <c r="H54" s="12" t="s">
        <v>320</v>
      </c>
      <c r="I54">
        <v>2119</v>
      </c>
      <c r="K54" s="37" t="s">
        <v>597</v>
      </c>
      <c r="L54" s="37"/>
      <c r="M54" s="37"/>
      <c r="N54" s="37"/>
    </row>
    <row r="55" spans="1:14" x14ac:dyDescent="0.3">
      <c r="A55" s="7" t="s">
        <v>372</v>
      </c>
      <c r="B55" s="30" t="s">
        <v>339</v>
      </c>
      <c r="C55" s="36">
        <v>1100</v>
      </c>
      <c r="D55" s="5" t="s">
        <v>324</v>
      </c>
      <c r="E55" s="5">
        <v>26925</v>
      </c>
      <c r="H55" s="12" t="s">
        <v>410</v>
      </c>
      <c r="I55">
        <v>730</v>
      </c>
    </row>
    <row r="56" spans="1:14" x14ac:dyDescent="0.3">
      <c r="A56" s="7" t="s">
        <v>373</v>
      </c>
      <c r="B56" s="30" t="s">
        <v>339</v>
      </c>
      <c r="C56" s="36">
        <v>377</v>
      </c>
      <c r="D56" s="5" t="s">
        <v>311</v>
      </c>
      <c r="E56" s="5">
        <v>9942</v>
      </c>
      <c r="H56" s="12" t="s">
        <v>384</v>
      </c>
      <c r="I56">
        <v>285</v>
      </c>
    </row>
    <row r="57" spans="1:14" x14ac:dyDescent="0.3">
      <c r="A57" s="7" t="s">
        <v>374</v>
      </c>
      <c r="B57" s="30" t="s">
        <v>339</v>
      </c>
      <c r="C57" s="36">
        <v>98</v>
      </c>
      <c r="D57" s="5" t="s">
        <v>316</v>
      </c>
      <c r="E57" s="5">
        <v>32929</v>
      </c>
      <c r="H57" s="12" t="s">
        <v>341</v>
      </c>
      <c r="I57">
        <v>1357</v>
      </c>
    </row>
    <row r="58" spans="1:14" x14ac:dyDescent="0.3">
      <c r="A58" s="7" t="s">
        <v>370</v>
      </c>
      <c r="B58" s="30" t="s">
        <v>390</v>
      </c>
      <c r="C58" s="36">
        <v>1125</v>
      </c>
      <c r="D58" s="5" t="s">
        <v>319</v>
      </c>
      <c r="E58" s="5">
        <v>37829</v>
      </c>
      <c r="H58" s="12" t="s">
        <v>356</v>
      </c>
      <c r="I58">
        <v>475</v>
      </c>
    </row>
    <row r="59" spans="1:14" x14ac:dyDescent="0.3">
      <c r="A59" s="7" t="s">
        <v>375</v>
      </c>
      <c r="B59" s="30" t="s">
        <v>390</v>
      </c>
      <c r="C59" s="36">
        <v>-32</v>
      </c>
      <c r="D59" s="5" t="s">
        <v>324</v>
      </c>
      <c r="E59" s="5">
        <v>24384</v>
      </c>
      <c r="H59" s="12" t="s">
        <v>442</v>
      </c>
      <c r="I59">
        <v>145</v>
      </c>
    </row>
    <row r="60" spans="1:14" x14ac:dyDescent="0.3">
      <c r="A60" s="7" t="s">
        <v>376</v>
      </c>
      <c r="B60" s="30" t="s">
        <v>390</v>
      </c>
      <c r="C60" s="36">
        <v>-19</v>
      </c>
      <c r="D60" s="5" t="s">
        <v>311</v>
      </c>
      <c r="E60" s="5">
        <v>25797</v>
      </c>
      <c r="H60" s="12" t="s">
        <v>449</v>
      </c>
      <c r="I60">
        <v>1656</v>
      </c>
    </row>
    <row r="61" spans="1:14" x14ac:dyDescent="0.3">
      <c r="A61" s="7" t="s">
        <v>377</v>
      </c>
      <c r="B61" s="30" t="s">
        <v>390</v>
      </c>
      <c r="C61" s="36">
        <v>1680</v>
      </c>
      <c r="D61" s="5" t="s">
        <v>316</v>
      </c>
      <c r="E61" s="5">
        <v>12646</v>
      </c>
      <c r="H61" s="12" t="s">
        <v>339</v>
      </c>
      <c r="I61">
        <v>-219</v>
      </c>
    </row>
    <row r="62" spans="1:14" x14ac:dyDescent="0.3">
      <c r="A62" s="7" t="s">
        <v>378</v>
      </c>
      <c r="B62" s="30" t="s">
        <v>343</v>
      </c>
      <c r="C62" s="36">
        <v>1025</v>
      </c>
      <c r="D62" s="5" t="s">
        <v>319</v>
      </c>
      <c r="E62" s="5">
        <v>26663</v>
      </c>
      <c r="H62" s="12" t="s">
        <v>330</v>
      </c>
      <c r="I62">
        <v>893</v>
      </c>
    </row>
    <row r="63" spans="1:14" x14ac:dyDescent="0.3">
      <c r="A63" s="7" t="s">
        <v>379</v>
      </c>
      <c r="B63" s="30" t="s">
        <v>343</v>
      </c>
      <c r="C63" s="36">
        <v>599</v>
      </c>
      <c r="D63" s="5" t="s">
        <v>324</v>
      </c>
      <c r="E63" s="5">
        <v>40478</v>
      </c>
      <c r="H63" s="12" t="s">
        <v>439</v>
      </c>
      <c r="I63">
        <v>641</v>
      </c>
    </row>
    <row r="64" spans="1:14" x14ac:dyDescent="0.3">
      <c r="A64" s="7" t="s">
        <v>380</v>
      </c>
      <c r="B64" s="30" t="s">
        <v>343</v>
      </c>
      <c r="C64" s="36">
        <v>1706</v>
      </c>
      <c r="D64" s="5" t="s">
        <v>311</v>
      </c>
      <c r="E64" s="5">
        <v>15476</v>
      </c>
      <c r="H64" s="12" t="s">
        <v>390</v>
      </c>
      <c r="I64">
        <v>37</v>
      </c>
    </row>
    <row r="65" spans="1:9" x14ac:dyDescent="0.3">
      <c r="A65" s="7" t="s">
        <v>381</v>
      </c>
      <c r="B65" s="30" t="s">
        <v>343</v>
      </c>
      <c r="C65" s="36">
        <v>1872</v>
      </c>
      <c r="D65" s="5" t="s">
        <v>316</v>
      </c>
      <c r="E65" s="5">
        <v>10217</v>
      </c>
      <c r="H65" s="12" t="s">
        <v>382</v>
      </c>
      <c r="I65">
        <v>1662</v>
      </c>
    </row>
    <row r="66" spans="1:9" x14ac:dyDescent="0.3">
      <c r="A66" s="7" t="s">
        <v>382</v>
      </c>
      <c r="B66" s="30" t="s">
        <v>571</v>
      </c>
      <c r="C66" s="36">
        <v>1662</v>
      </c>
      <c r="D66" s="5" t="s">
        <v>319</v>
      </c>
      <c r="E66" s="5">
        <v>21939</v>
      </c>
      <c r="H66" s="12" t="s">
        <v>431</v>
      </c>
      <c r="I66">
        <v>1707</v>
      </c>
    </row>
    <row r="67" spans="1:9" x14ac:dyDescent="0.3">
      <c r="A67" s="7" t="s">
        <v>383</v>
      </c>
      <c r="B67" s="30" t="s">
        <v>571</v>
      </c>
      <c r="C67" s="36">
        <v>107</v>
      </c>
      <c r="D67" s="5" t="s">
        <v>324</v>
      </c>
      <c r="E67" s="5">
        <v>47462</v>
      </c>
      <c r="H67" s="12" t="s">
        <v>343</v>
      </c>
      <c r="I67">
        <v>1672</v>
      </c>
    </row>
    <row r="68" spans="1:9" x14ac:dyDescent="0.3">
      <c r="A68" s="7" t="s">
        <v>355</v>
      </c>
      <c r="B68" s="30" t="s">
        <v>571</v>
      </c>
      <c r="C68" s="36">
        <v>118</v>
      </c>
      <c r="D68" s="5" t="s">
        <v>311</v>
      </c>
      <c r="E68" s="5">
        <v>30270</v>
      </c>
      <c r="H68" s="12" t="s">
        <v>409</v>
      </c>
      <c r="I68">
        <v>684</v>
      </c>
    </row>
    <row r="69" spans="1:9" x14ac:dyDescent="0.3">
      <c r="A69" s="7" t="s">
        <v>384</v>
      </c>
      <c r="B69" s="30" t="s">
        <v>571</v>
      </c>
      <c r="C69" s="36">
        <v>285</v>
      </c>
      <c r="D69" s="5" t="s">
        <v>316</v>
      </c>
      <c r="E69" s="5">
        <v>5442</v>
      </c>
      <c r="H69" s="12" t="s">
        <v>350</v>
      </c>
      <c r="I69">
        <v>159</v>
      </c>
    </row>
    <row r="70" spans="1:9" x14ac:dyDescent="0.3">
      <c r="A70" s="7" t="s">
        <v>385</v>
      </c>
      <c r="B70" s="30" t="s">
        <v>572</v>
      </c>
      <c r="C70" s="36">
        <v>-20</v>
      </c>
      <c r="D70" s="5" t="s">
        <v>319</v>
      </c>
      <c r="E70" s="5">
        <v>1083</v>
      </c>
      <c r="H70" s="12" t="s">
        <v>413</v>
      </c>
      <c r="I70">
        <v>903</v>
      </c>
    </row>
    <row r="71" spans="1:9" x14ac:dyDescent="0.3">
      <c r="A71" s="7" t="s">
        <v>386</v>
      </c>
      <c r="B71" s="30" t="s">
        <v>572</v>
      </c>
      <c r="C71" s="36">
        <v>262</v>
      </c>
      <c r="D71" s="5" t="s">
        <v>324</v>
      </c>
      <c r="E71" s="5">
        <v>11901</v>
      </c>
      <c r="H71" s="12" t="s">
        <v>432</v>
      </c>
      <c r="I71">
        <v>899</v>
      </c>
    </row>
    <row r="72" spans="1:9" x14ac:dyDescent="0.3">
      <c r="A72" s="7" t="s">
        <v>387</v>
      </c>
      <c r="B72" s="30" t="s">
        <v>572</v>
      </c>
      <c r="C72" s="36">
        <v>439</v>
      </c>
      <c r="D72" s="5" t="s">
        <v>311</v>
      </c>
      <c r="E72" s="5">
        <v>24018</v>
      </c>
      <c r="H72" s="12" t="s">
        <v>424</v>
      </c>
      <c r="I72">
        <v>2655</v>
      </c>
    </row>
    <row r="73" spans="1:9" x14ac:dyDescent="0.3">
      <c r="A73" s="7" t="s">
        <v>388</v>
      </c>
      <c r="B73" s="30" t="s">
        <v>572</v>
      </c>
      <c r="C73" s="36">
        <v>1484</v>
      </c>
      <c r="D73" s="5" t="s">
        <v>316</v>
      </c>
      <c r="E73" s="5">
        <v>38883</v>
      </c>
      <c r="H73" s="12" t="s">
        <v>423</v>
      </c>
      <c r="I73">
        <v>1426</v>
      </c>
    </row>
    <row r="74" spans="1:9" x14ac:dyDescent="0.3">
      <c r="A74" s="7" t="s">
        <v>364</v>
      </c>
      <c r="B74" s="30" t="s">
        <v>573</v>
      </c>
      <c r="C74" s="36">
        <v>576</v>
      </c>
      <c r="D74" s="5" t="s">
        <v>319</v>
      </c>
      <c r="E74" s="5">
        <v>30575</v>
      </c>
      <c r="H74" s="12" t="s">
        <v>396</v>
      </c>
      <c r="I74">
        <v>1490</v>
      </c>
    </row>
    <row r="75" spans="1:9" x14ac:dyDescent="0.3">
      <c r="A75" s="7" t="s">
        <v>389</v>
      </c>
      <c r="B75" s="30" t="s">
        <v>573</v>
      </c>
      <c r="C75" s="36">
        <v>386</v>
      </c>
      <c r="D75" s="5" t="s">
        <v>324</v>
      </c>
      <c r="E75" s="5">
        <v>2315</v>
      </c>
      <c r="H75" s="12" t="s">
        <v>399</v>
      </c>
      <c r="I75">
        <v>1332</v>
      </c>
    </row>
    <row r="76" spans="1:9" x14ac:dyDescent="0.3">
      <c r="A76" s="7" t="s">
        <v>390</v>
      </c>
      <c r="B76" s="30" t="s">
        <v>573</v>
      </c>
      <c r="C76" s="36">
        <v>37</v>
      </c>
      <c r="D76" s="5" t="s">
        <v>311</v>
      </c>
      <c r="E76" s="5">
        <v>12148</v>
      </c>
      <c r="H76" s="12" t="s">
        <v>392</v>
      </c>
      <c r="I76">
        <v>2000</v>
      </c>
    </row>
    <row r="77" spans="1:9" x14ac:dyDescent="0.3">
      <c r="A77" s="7" t="s">
        <v>391</v>
      </c>
      <c r="B77" s="30" t="s">
        <v>573</v>
      </c>
      <c r="C77" s="36">
        <v>1657</v>
      </c>
      <c r="D77" s="5" t="s">
        <v>316</v>
      </c>
      <c r="E77" s="5">
        <v>36851</v>
      </c>
      <c r="H77" s="12" t="s">
        <v>397</v>
      </c>
      <c r="I77">
        <v>445</v>
      </c>
    </row>
    <row r="78" spans="1:9" x14ac:dyDescent="0.3">
      <c r="A78" s="7" t="s">
        <v>392</v>
      </c>
      <c r="B78" s="30" t="s">
        <v>574</v>
      </c>
      <c r="C78" s="36">
        <v>540</v>
      </c>
      <c r="D78" s="5" t="s">
        <v>319</v>
      </c>
      <c r="E78" s="5">
        <v>41215</v>
      </c>
      <c r="H78" s="12" t="s">
        <v>378</v>
      </c>
      <c r="I78">
        <v>2615</v>
      </c>
    </row>
    <row r="79" spans="1:9" x14ac:dyDescent="0.3">
      <c r="A79" s="7" t="s">
        <v>393</v>
      </c>
      <c r="B79" s="30" t="s">
        <v>574</v>
      </c>
      <c r="C79" s="36">
        <v>1603</v>
      </c>
      <c r="D79" s="5" t="s">
        <v>324</v>
      </c>
      <c r="E79" s="5">
        <v>43836</v>
      </c>
      <c r="H79" s="12" t="s">
        <v>446</v>
      </c>
      <c r="I79">
        <v>1881</v>
      </c>
    </row>
    <row r="80" spans="1:9" x14ac:dyDescent="0.3">
      <c r="A80" s="7" t="s">
        <v>394</v>
      </c>
      <c r="B80" s="30" t="s">
        <v>574</v>
      </c>
      <c r="C80" s="36">
        <v>1044</v>
      </c>
      <c r="D80" s="5" t="s">
        <v>311</v>
      </c>
      <c r="E80" s="5">
        <v>4509</v>
      </c>
      <c r="H80" s="12" t="s">
        <v>337</v>
      </c>
      <c r="I80">
        <v>-123</v>
      </c>
    </row>
    <row r="81" spans="1:9" x14ac:dyDescent="0.3">
      <c r="A81" s="7" t="s">
        <v>395</v>
      </c>
      <c r="B81" s="30" t="s">
        <v>574</v>
      </c>
      <c r="C81" s="36">
        <v>902</v>
      </c>
      <c r="D81" s="5" t="s">
        <v>316</v>
      </c>
      <c r="E81" s="5">
        <v>27822</v>
      </c>
      <c r="H81" s="12" t="s">
        <v>393</v>
      </c>
      <c r="I81">
        <v>1770</v>
      </c>
    </row>
    <row r="82" spans="1:9" x14ac:dyDescent="0.3">
      <c r="A82" s="7" t="s">
        <v>351</v>
      </c>
      <c r="B82" s="30" t="s">
        <v>575</v>
      </c>
      <c r="C82" s="36">
        <v>-106</v>
      </c>
      <c r="D82" s="5" t="s">
        <v>319</v>
      </c>
      <c r="E82" s="5">
        <v>36397</v>
      </c>
      <c r="H82" s="12" t="s">
        <v>437</v>
      </c>
      <c r="I82">
        <v>292</v>
      </c>
    </row>
    <row r="83" spans="1:9" x14ac:dyDescent="0.3">
      <c r="A83" s="7" t="s">
        <v>376</v>
      </c>
      <c r="B83" s="30" t="s">
        <v>575</v>
      </c>
      <c r="C83" s="36">
        <v>1150</v>
      </c>
      <c r="D83" s="5" t="s">
        <v>324</v>
      </c>
      <c r="E83" s="5">
        <v>7285</v>
      </c>
      <c r="H83" s="12" t="s">
        <v>325</v>
      </c>
      <c r="I83">
        <v>1283</v>
      </c>
    </row>
    <row r="84" spans="1:9" x14ac:dyDescent="0.3">
      <c r="A84" s="7" t="s">
        <v>396</v>
      </c>
      <c r="B84" s="30" t="s">
        <v>575</v>
      </c>
      <c r="C84" s="36">
        <v>-49</v>
      </c>
      <c r="D84" s="5" t="s">
        <v>311</v>
      </c>
      <c r="E84" s="5">
        <v>33174</v>
      </c>
      <c r="H84" s="12" t="s">
        <v>368</v>
      </c>
      <c r="I84">
        <v>1045</v>
      </c>
    </row>
    <row r="85" spans="1:9" x14ac:dyDescent="0.3">
      <c r="A85" s="7" t="s">
        <v>373</v>
      </c>
      <c r="B85" s="30" t="s">
        <v>575</v>
      </c>
      <c r="C85" s="36">
        <v>72</v>
      </c>
      <c r="D85" s="5" t="s">
        <v>316</v>
      </c>
      <c r="E85" s="5">
        <v>6742</v>
      </c>
      <c r="H85" s="12" t="s">
        <v>428</v>
      </c>
      <c r="I85">
        <v>2925</v>
      </c>
    </row>
    <row r="86" spans="1:9" x14ac:dyDescent="0.3">
      <c r="A86" s="7" t="s">
        <v>397</v>
      </c>
      <c r="B86" s="30" t="s">
        <v>378</v>
      </c>
      <c r="C86" s="36">
        <v>445</v>
      </c>
      <c r="D86" s="5" t="s">
        <v>319</v>
      </c>
      <c r="E86" s="5">
        <v>32478</v>
      </c>
      <c r="H86" s="12" t="s">
        <v>346</v>
      </c>
      <c r="I86">
        <v>514</v>
      </c>
    </row>
    <row r="87" spans="1:9" x14ac:dyDescent="0.3">
      <c r="A87" s="7" t="s">
        <v>398</v>
      </c>
      <c r="B87" s="30" t="s">
        <v>378</v>
      </c>
      <c r="C87" s="36">
        <v>1693</v>
      </c>
      <c r="D87" s="5" t="s">
        <v>324</v>
      </c>
      <c r="E87" s="5">
        <v>42824</v>
      </c>
      <c r="H87" s="12" t="s">
        <v>395</v>
      </c>
      <c r="I87">
        <v>2279</v>
      </c>
    </row>
    <row r="88" spans="1:9" x14ac:dyDescent="0.3">
      <c r="A88" s="7" t="s">
        <v>399</v>
      </c>
      <c r="B88" s="30" t="s">
        <v>378</v>
      </c>
      <c r="C88" s="36">
        <v>1332</v>
      </c>
      <c r="D88" s="5" t="s">
        <v>311</v>
      </c>
      <c r="E88" s="5">
        <v>21208</v>
      </c>
      <c r="H88" s="12" t="s">
        <v>408</v>
      </c>
      <c r="I88">
        <v>1359</v>
      </c>
    </row>
    <row r="89" spans="1:9" x14ac:dyDescent="0.3">
      <c r="A89" s="7" t="s">
        <v>400</v>
      </c>
      <c r="B89" s="30" t="s">
        <v>378</v>
      </c>
      <c r="C89" s="36">
        <v>98</v>
      </c>
      <c r="D89" s="5" t="s">
        <v>316</v>
      </c>
      <c r="E89" s="5">
        <v>44321</v>
      </c>
      <c r="H89" s="12" t="s">
        <v>425</v>
      </c>
      <c r="I89">
        <v>748</v>
      </c>
    </row>
    <row r="90" spans="1:9" x14ac:dyDescent="0.3">
      <c r="A90" s="7" t="s">
        <v>359</v>
      </c>
      <c r="B90" s="30" t="s">
        <v>393</v>
      </c>
      <c r="C90" s="36">
        <v>885</v>
      </c>
      <c r="D90" s="5" t="s">
        <v>319</v>
      </c>
      <c r="E90" s="5">
        <v>13116</v>
      </c>
      <c r="H90" s="12" t="s">
        <v>335</v>
      </c>
      <c r="I90">
        <v>629</v>
      </c>
    </row>
    <row r="91" spans="1:9" x14ac:dyDescent="0.3">
      <c r="A91" s="7" t="s">
        <v>401</v>
      </c>
      <c r="B91" s="30" t="s">
        <v>393</v>
      </c>
      <c r="C91" s="36">
        <v>1625</v>
      </c>
      <c r="D91" s="5" t="s">
        <v>324</v>
      </c>
      <c r="E91" s="5">
        <v>30214</v>
      </c>
      <c r="H91" s="12" t="s">
        <v>383</v>
      </c>
      <c r="I91">
        <v>107</v>
      </c>
    </row>
    <row r="92" spans="1:9" x14ac:dyDescent="0.3">
      <c r="A92" s="7" t="s">
        <v>402</v>
      </c>
      <c r="B92" s="30" t="s">
        <v>393</v>
      </c>
      <c r="C92" s="36">
        <v>1706</v>
      </c>
      <c r="D92" s="5" t="s">
        <v>311</v>
      </c>
      <c r="E92" s="5">
        <v>15827</v>
      </c>
      <c r="H92" s="12" t="s">
        <v>422</v>
      </c>
      <c r="I92">
        <v>898</v>
      </c>
    </row>
    <row r="93" spans="1:9" x14ac:dyDescent="0.3">
      <c r="A93" s="7" t="s">
        <v>403</v>
      </c>
      <c r="B93" s="30" t="s">
        <v>393</v>
      </c>
      <c r="C93" s="36">
        <v>291</v>
      </c>
      <c r="D93" s="5" t="s">
        <v>316</v>
      </c>
      <c r="E93" s="5">
        <v>46643</v>
      </c>
      <c r="H93" s="12" t="s">
        <v>362</v>
      </c>
      <c r="I93">
        <v>940</v>
      </c>
    </row>
    <row r="94" spans="1:9" x14ac:dyDescent="0.3">
      <c r="A94" s="7" t="s">
        <v>404</v>
      </c>
      <c r="B94" s="30" t="s">
        <v>428</v>
      </c>
      <c r="C94" s="36">
        <v>1119</v>
      </c>
      <c r="D94" s="5" t="s">
        <v>319</v>
      </c>
      <c r="E94" s="5">
        <v>36484</v>
      </c>
      <c r="H94" s="12" t="s">
        <v>435</v>
      </c>
      <c r="I94">
        <v>1116</v>
      </c>
    </row>
    <row r="95" spans="1:9" x14ac:dyDescent="0.3">
      <c r="A95" s="7" t="s">
        <v>405</v>
      </c>
      <c r="B95" s="30" t="s">
        <v>428</v>
      </c>
      <c r="C95" s="36">
        <v>1373</v>
      </c>
      <c r="D95" s="5" t="s">
        <v>324</v>
      </c>
      <c r="E95" s="5">
        <v>4996</v>
      </c>
      <c r="H95" s="12" t="s">
        <v>358</v>
      </c>
      <c r="I95">
        <v>-197</v>
      </c>
    </row>
    <row r="96" spans="1:9" x14ac:dyDescent="0.3">
      <c r="A96" s="7" t="s">
        <v>406</v>
      </c>
      <c r="B96" s="30" t="s">
        <v>428</v>
      </c>
      <c r="C96" s="36">
        <v>1727</v>
      </c>
      <c r="D96" s="5" t="s">
        <v>311</v>
      </c>
      <c r="E96" s="5">
        <v>36095</v>
      </c>
      <c r="H96" s="12" t="s">
        <v>388</v>
      </c>
      <c r="I96">
        <v>1484</v>
      </c>
    </row>
    <row r="97" spans="1:9" x14ac:dyDescent="0.3">
      <c r="A97" s="7" t="s">
        <v>378</v>
      </c>
      <c r="B97" s="30" t="s">
        <v>428</v>
      </c>
      <c r="C97" s="36">
        <v>573</v>
      </c>
      <c r="D97" s="5" t="s">
        <v>316</v>
      </c>
      <c r="E97" s="5">
        <v>16443</v>
      </c>
      <c r="H97" s="12" t="s">
        <v>400</v>
      </c>
      <c r="I97">
        <v>98</v>
      </c>
    </row>
    <row r="98" spans="1:9" x14ac:dyDescent="0.3">
      <c r="A98" s="7" t="s">
        <v>407</v>
      </c>
      <c r="B98" s="30" t="s">
        <v>576</v>
      </c>
      <c r="C98" s="36">
        <v>1432</v>
      </c>
      <c r="D98" s="5" t="s">
        <v>319</v>
      </c>
      <c r="E98" s="5">
        <v>47812</v>
      </c>
      <c r="H98" s="12" t="s">
        <v>407</v>
      </c>
      <c r="I98">
        <v>1432</v>
      </c>
    </row>
    <row r="99" spans="1:9" x14ac:dyDescent="0.3">
      <c r="A99" s="7" t="s">
        <v>395</v>
      </c>
      <c r="B99" s="30" t="s">
        <v>576</v>
      </c>
      <c r="C99" s="36">
        <v>1377</v>
      </c>
      <c r="D99" s="5" t="s">
        <v>324</v>
      </c>
      <c r="E99" s="5">
        <v>38452</v>
      </c>
      <c r="H99" s="12" t="s">
        <v>366</v>
      </c>
      <c r="I99">
        <v>1229</v>
      </c>
    </row>
    <row r="100" spans="1:9" x14ac:dyDescent="0.3">
      <c r="A100" s="7" t="s">
        <v>408</v>
      </c>
      <c r="B100" s="30" t="s">
        <v>576</v>
      </c>
      <c r="C100" s="36">
        <v>1359</v>
      </c>
      <c r="D100" s="5" t="s">
        <v>311</v>
      </c>
      <c r="E100" s="5">
        <v>30428</v>
      </c>
      <c r="H100" s="12" t="s">
        <v>354</v>
      </c>
      <c r="I100">
        <v>-318</v>
      </c>
    </row>
    <row r="101" spans="1:9" x14ac:dyDescent="0.3">
      <c r="A101" s="7" t="s">
        <v>409</v>
      </c>
      <c r="B101" s="30" t="s">
        <v>576</v>
      </c>
      <c r="C101" s="36">
        <v>684</v>
      </c>
      <c r="D101" s="5" t="s">
        <v>316</v>
      </c>
      <c r="E101" s="5">
        <v>9269</v>
      </c>
      <c r="H101" s="12" t="s">
        <v>377</v>
      </c>
      <c r="I101">
        <v>1680</v>
      </c>
    </row>
    <row r="102" spans="1:9" x14ac:dyDescent="0.3">
      <c r="A102" s="7" t="s">
        <v>410</v>
      </c>
      <c r="B102" s="30" t="s">
        <v>335</v>
      </c>
      <c r="C102" s="36">
        <v>730</v>
      </c>
      <c r="D102" s="5" t="s">
        <v>319</v>
      </c>
      <c r="E102" s="5">
        <v>29533</v>
      </c>
      <c r="H102" s="12" t="s">
        <v>445</v>
      </c>
      <c r="I102">
        <v>948</v>
      </c>
    </row>
    <row r="103" spans="1:9" x14ac:dyDescent="0.3">
      <c r="A103" s="7" t="s">
        <v>371</v>
      </c>
      <c r="B103" s="30" t="s">
        <v>335</v>
      </c>
      <c r="C103" s="36">
        <v>1589</v>
      </c>
      <c r="D103" s="5" t="s">
        <v>324</v>
      </c>
      <c r="E103" s="5">
        <v>39997</v>
      </c>
      <c r="H103" s="12" t="s">
        <v>312</v>
      </c>
      <c r="I103">
        <v>1047</v>
      </c>
    </row>
    <row r="104" spans="1:9" x14ac:dyDescent="0.3">
      <c r="A104" s="7" t="s">
        <v>411</v>
      </c>
      <c r="B104" s="30" t="s">
        <v>335</v>
      </c>
      <c r="C104" s="36">
        <v>1776</v>
      </c>
      <c r="D104" s="5" t="s">
        <v>311</v>
      </c>
      <c r="E104" s="5">
        <v>5391</v>
      </c>
      <c r="H104" s="12" t="s">
        <v>444</v>
      </c>
      <c r="I104">
        <v>1633</v>
      </c>
    </row>
    <row r="105" spans="1:9" x14ac:dyDescent="0.3">
      <c r="A105" s="7" t="s">
        <v>412</v>
      </c>
      <c r="B105" s="30" t="s">
        <v>335</v>
      </c>
      <c r="C105" s="36">
        <v>1529</v>
      </c>
      <c r="D105" s="5" t="s">
        <v>316</v>
      </c>
      <c r="E105" s="5">
        <v>22373</v>
      </c>
      <c r="H105" s="12" t="s">
        <v>374</v>
      </c>
      <c r="I105">
        <v>98</v>
      </c>
    </row>
    <row r="106" spans="1:9" x14ac:dyDescent="0.3">
      <c r="A106" s="7" t="s">
        <v>392</v>
      </c>
      <c r="B106" s="30" t="s">
        <v>362</v>
      </c>
      <c r="C106" s="36">
        <v>1460</v>
      </c>
      <c r="D106" s="5" t="s">
        <v>319</v>
      </c>
      <c r="E106" s="5">
        <v>1810</v>
      </c>
      <c r="H106" s="12" t="s">
        <v>344</v>
      </c>
      <c r="I106">
        <v>309</v>
      </c>
    </row>
    <row r="107" spans="1:9" x14ac:dyDescent="0.3">
      <c r="A107" s="7" t="s">
        <v>413</v>
      </c>
      <c r="B107" s="30" t="s">
        <v>362</v>
      </c>
      <c r="C107" s="36">
        <v>903</v>
      </c>
      <c r="D107" s="5" t="s">
        <v>324</v>
      </c>
      <c r="E107" s="5">
        <v>28498</v>
      </c>
      <c r="H107" s="12" t="s">
        <v>360</v>
      </c>
      <c r="I107">
        <v>1325</v>
      </c>
    </row>
    <row r="108" spans="1:9" x14ac:dyDescent="0.3">
      <c r="A108" s="7" t="s">
        <v>414</v>
      </c>
      <c r="B108" s="30" t="s">
        <v>362</v>
      </c>
      <c r="C108" s="36">
        <v>1188</v>
      </c>
      <c r="D108" s="5" t="s">
        <v>311</v>
      </c>
      <c r="E108" s="5">
        <v>39530</v>
      </c>
      <c r="H108" s="12" t="s">
        <v>404</v>
      </c>
      <c r="I108">
        <v>2434</v>
      </c>
    </row>
    <row r="109" spans="1:9" x14ac:dyDescent="0.3">
      <c r="A109" s="7" t="s">
        <v>415</v>
      </c>
      <c r="B109" s="30" t="s">
        <v>362</v>
      </c>
      <c r="C109" s="36">
        <v>298</v>
      </c>
      <c r="D109" s="5" t="s">
        <v>316</v>
      </c>
      <c r="E109" s="5">
        <v>37876</v>
      </c>
      <c r="H109" s="12" t="s">
        <v>347</v>
      </c>
      <c r="I109">
        <v>-164</v>
      </c>
    </row>
    <row r="110" spans="1:9" x14ac:dyDescent="0.3">
      <c r="A110" s="7" t="s">
        <v>416</v>
      </c>
      <c r="B110" s="30" t="s">
        <v>577</v>
      </c>
      <c r="C110" s="36">
        <v>-144</v>
      </c>
      <c r="D110" s="5" t="s">
        <v>319</v>
      </c>
      <c r="E110" s="5">
        <v>36103</v>
      </c>
      <c r="H110" s="12" t="s">
        <v>401</v>
      </c>
      <c r="I110">
        <v>2641</v>
      </c>
    </row>
    <row r="111" spans="1:9" x14ac:dyDescent="0.3">
      <c r="A111" s="7" t="s">
        <v>417</v>
      </c>
      <c r="B111" s="30" t="s">
        <v>577</v>
      </c>
      <c r="C111" s="36">
        <v>901</v>
      </c>
      <c r="D111" s="5" t="s">
        <v>324</v>
      </c>
      <c r="E111" s="5">
        <v>26103</v>
      </c>
      <c r="H111" s="12" t="s">
        <v>381</v>
      </c>
      <c r="I111">
        <v>1872</v>
      </c>
    </row>
    <row r="112" spans="1:9" x14ac:dyDescent="0.3">
      <c r="A112" s="7" t="s">
        <v>418</v>
      </c>
      <c r="B112" s="30" t="s">
        <v>577</v>
      </c>
      <c r="C112" s="36">
        <v>1572</v>
      </c>
      <c r="D112" s="5" t="s">
        <v>311</v>
      </c>
      <c r="E112" s="5">
        <v>3455</v>
      </c>
      <c r="H112" s="12" t="s">
        <v>352</v>
      </c>
      <c r="I112">
        <v>317</v>
      </c>
    </row>
    <row r="113" spans="1:9" x14ac:dyDescent="0.3">
      <c r="A113" s="7" t="s">
        <v>419</v>
      </c>
      <c r="B113" s="30" t="s">
        <v>577</v>
      </c>
      <c r="C113" s="36">
        <v>427</v>
      </c>
      <c r="D113" s="5" t="s">
        <v>316</v>
      </c>
      <c r="E113" s="5">
        <v>40888</v>
      </c>
      <c r="H113" s="12" t="s">
        <v>332</v>
      </c>
      <c r="I113">
        <v>1295</v>
      </c>
    </row>
    <row r="114" spans="1:9" x14ac:dyDescent="0.3">
      <c r="A114" s="7" t="s">
        <v>420</v>
      </c>
      <c r="B114" s="30" t="s">
        <v>400</v>
      </c>
      <c r="C114" s="36">
        <v>891</v>
      </c>
      <c r="D114" s="5" t="s">
        <v>319</v>
      </c>
      <c r="E114" s="5">
        <v>22724</v>
      </c>
      <c r="H114" s="12" t="s">
        <v>417</v>
      </c>
      <c r="I114">
        <v>901</v>
      </c>
    </row>
    <row r="115" spans="1:9" x14ac:dyDescent="0.3">
      <c r="A115" s="7" t="s">
        <v>421</v>
      </c>
      <c r="B115" s="30" t="s">
        <v>400</v>
      </c>
      <c r="C115" s="36">
        <v>724</v>
      </c>
      <c r="D115" s="5" t="s">
        <v>324</v>
      </c>
      <c r="E115" s="5">
        <v>18601</v>
      </c>
      <c r="H115" s="12" t="s">
        <v>433</v>
      </c>
      <c r="I115">
        <v>1242</v>
      </c>
    </row>
    <row r="116" spans="1:9" x14ac:dyDescent="0.3">
      <c r="A116" s="7" t="s">
        <v>422</v>
      </c>
      <c r="B116" s="30" t="s">
        <v>400</v>
      </c>
      <c r="C116" s="36">
        <v>898</v>
      </c>
      <c r="D116" s="5" t="s">
        <v>311</v>
      </c>
      <c r="E116" s="5">
        <v>20861</v>
      </c>
      <c r="H116" s="12" t="s">
        <v>429</v>
      </c>
      <c r="I116">
        <v>1444</v>
      </c>
    </row>
    <row r="117" spans="1:9" x14ac:dyDescent="0.3">
      <c r="A117" s="7" t="s">
        <v>423</v>
      </c>
      <c r="B117" s="30" t="s">
        <v>400</v>
      </c>
      <c r="C117" s="36">
        <v>1426</v>
      </c>
      <c r="D117" s="5" t="s">
        <v>316</v>
      </c>
      <c r="E117" s="5">
        <v>46625</v>
      </c>
      <c r="H117" s="12" t="s">
        <v>412</v>
      </c>
      <c r="I117">
        <v>1529</v>
      </c>
    </row>
    <row r="118" spans="1:9" x14ac:dyDescent="0.3">
      <c r="A118" s="7" t="s">
        <v>424</v>
      </c>
      <c r="B118" s="30" t="s">
        <v>354</v>
      </c>
      <c r="C118" s="36">
        <v>1225</v>
      </c>
      <c r="D118" s="5" t="s">
        <v>319</v>
      </c>
      <c r="E118" s="5">
        <v>20692</v>
      </c>
      <c r="H118" s="12" t="s">
        <v>336</v>
      </c>
      <c r="I118">
        <v>835</v>
      </c>
    </row>
    <row r="119" spans="1:9" x14ac:dyDescent="0.3">
      <c r="A119" s="7" t="s">
        <v>425</v>
      </c>
      <c r="B119" s="30" t="s">
        <v>354</v>
      </c>
      <c r="C119" s="36">
        <v>748</v>
      </c>
      <c r="D119" s="5" t="s">
        <v>324</v>
      </c>
      <c r="E119" s="5">
        <v>18656</v>
      </c>
      <c r="H119" s="12" t="s">
        <v>361</v>
      </c>
      <c r="I119">
        <v>37</v>
      </c>
    </row>
    <row r="120" spans="1:9" x14ac:dyDescent="0.3">
      <c r="A120" s="7" t="s">
        <v>426</v>
      </c>
      <c r="B120" s="30" t="s">
        <v>354</v>
      </c>
      <c r="C120" s="36">
        <v>569</v>
      </c>
      <c r="D120" s="5" t="s">
        <v>311</v>
      </c>
      <c r="E120" s="5">
        <v>13316</v>
      </c>
      <c r="H120" s="12" t="s">
        <v>450</v>
      </c>
      <c r="I120">
        <v>407</v>
      </c>
    </row>
    <row r="121" spans="1:9" x14ac:dyDescent="0.3">
      <c r="A121" s="7" t="s">
        <v>427</v>
      </c>
      <c r="B121" s="30" t="s">
        <v>354</v>
      </c>
      <c r="C121" s="36">
        <v>-203</v>
      </c>
      <c r="D121" s="5" t="s">
        <v>316</v>
      </c>
      <c r="E121" s="5">
        <v>49558</v>
      </c>
      <c r="H121" s="12" t="s">
        <v>370</v>
      </c>
      <c r="I121">
        <v>1458</v>
      </c>
    </row>
    <row r="122" spans="1:9" x14ac:dyDescent="0.3">
      <c r="A122" s="7" t="s">
        <v>428</v>
      </c>
      <c r="B122" s="30" t="s">
        <v>312</v>
      </c>
      <c r="C122" s="36">
        <v>1723</v>
      </c>
      <c r="D122" s="5" t="s">
        <v>319</v>
      </c>
      <c r="E122" s="5">
        <v>4683</v>
      </c>
      <c r="H122" s="12" t="s">
        <v>353</v>
      </c>
      <c r="I122">
        <v>541</v>
      </c>
    </row>
    <row r="123" spans="1:9" x14ac:dyDescent="0.3">
      <c r="A123" s="7" t="s">
        <v>428</v>
      </c>
      <c r="B123" s="30" t="s">
        <v>312</v>
      </c>
      <c r="C123" s="36">
        <v>1202</v>
      </c>
      <c r="D123" s="5" t="s">
        <v>324</v>
      </c>
      <c r="E123" s="5">
        <v>47502</v>
      </c>
      <c r="H123" s="12" t="s">
        <v>345</v>
      </c>
      <c r="I123">
        <v>547</v>
      </c>
    </row>
    <row r="124" spans="1:9" x14ac:dyDescent="0.3">
      <c r="A124" s="7" t="s">
        <v>429</v>
      </c>
      <c r="B124" s="30" t="s">
        <v>312</v>
      </c>
      <c r="C124" s="36">
        <v>1444</v>
      </c>
      <c r="D124" s="5" t="s">
        <v>311</v>
      </c>
      <c r="E124" s="5">
        <v>35359</v>
      </c>
      <c r="H124" s="12" t="s">
        <v>367</v>
      </c>
      <c r="I124">
        <v>28</v>
      </c>
    </row>
    <row r="125" spans="1:9" x14ac:dyDescent="0.3">
      <c r="A125" s="7" t="s">
        <v>378</v>
      </c>
      <c r="B125" s="30" t="s">
        <v>312</v>
      </c>
      <c r="C125" s="36">
        <v>965</v>
      </c>
      <c r="D125" s="5" t="s">
        <v>316</v>
      </c>
      <c r="E125" s="5">
        <v>14154</v>
      </c>
      <c r="H125" s="12" t="s">
        <v>391</v>
      </c>
      <c r="I125">
        <v>1657</v>
      </c>
    </row>
    <row r="126" spans="1:9" x14ac:dyDescent="0.3">
      <c r="A126" s="7" t="s">
        <v>421</v>
      </c>
      <c r="B126" s="30" t="s">
        <v>578</v>
      </c>
      <c r="C126" s="36">
        <v>1590</v>
      </c>
      <c r="D126" s="5" t="s">
        <v>319</v>
      </c>
      <c r="E126" s="5">
        <v>4313</v>
      </c>
      <c r="H126" s="12" t="s">
        <v>351</v>
      </c>
      <c r="I126">
        <v>2560</v>
      </c>
    </row>
    <row r="127" spans="1:9" x14ac:dyDescent="0.3">
      <c r="A127" s="7" t="s">
        <v>424</v>
      </c>
      <c r="B127" s="30" t="s">
        <v>578</v>
      </c>
      <c r="C127" s="36">
        <v>-37</v>
      </c>
      <c r="D127" s="5" t="s">
        <v>324</v>
      </c>
      <c r="E127" s="5">
        <v>25140</v>
      </c>
      <c r="H127" s="12" t="s">
        <v>365</v>
      </c>
      <c r="I127">
        <v>37</v>
      </c>
    </row>
    <row r="128" spans="1:9" x14ac:dyDescent="0.3">
      <c r="A128" s="7" t="s">
        <v>416</v>
      </c>
      <c r="B128" s="30" t="s">
        <v>578</v>
      </c>
      <c r="C128" s="36">
        <v>1175</v>
      </c>
      <c r="D128" s="5" t="s">
        <v>311</v>
      </c>
      <c r="E128" s="5">
        <v>9118</v>
      </c>
      <c r="H128" s="12" t="s">
        <v>363</v>
      </c>
      <c r="I128">
        <v>1058</v>
      </c>
    </row>
    <row r="129" spans="1:9" x14ac:dyDescent="0.3">
      <c r="A129" s="7" t="s">
        <v>430</v>
      </c>
      <c r="B129" s="30" t="s">
        <v>578</v>
      </c>
      <c r="C129" s="36">
        <v>1375</v>
      </c>
      <c r="D129" s="5" t="s">
        <v>316</v>
      </c>
      <c r="E129" s="5">
        <v>39931</v>
      </c>
      <c r="H129" s="12" t="s">
        <v>364</v>
      </c>
      <c r="I129">
        <v>2185</v>
      </c>
    </row>
    <row r="130" spans="1:9" x14ac:dyDescent="0.3">
      <c r="A130" s="7" t="s">
        <v>431</v>
      </c>
      <c r="B130" s="30" t="s">
        <v>360</v>
      </c>
      <c r="C130" s="36">
        <v>1707</v>
      </c>
      <c r="D130" s="5" t="s">
        <v>319</v>
      </c>
      <c r="E130" s="5">
        <v>37132</v>
      </c>
      <c r="H130" s="12" t="s">
        <v>331</v>
      </c>
      <c r="I130">
        <v>2954</v>
      </c>
    </row>
    <row r="131" spans="1:9" x14ac:dyDescent="0.3">
      <c r="A131" s="7" t="s">
        <v>385</v>
      </c>
      <c r="B131" s="30" t="s">
        <v>360</v>
      </c>
      <c r="C131" s="36">
        <v>708</v>
      </c>
      <c r="D131" s="5" t="s">
        <v>324</v>
      </c>
      <c r="E131" s="5">
        <v>17951</v>
      </c>
      <c r="H131" s="12" t="s">
        <v>375</v>
      </c>
      <c r="I131">
        <v>-32</v>
      </c>
    </row>
    <row r="132" spans="1:9" x14ac:dyDescent="0.3">
      <c r="A132" s="7" t="s">
        <v>401</v>
      </c>
      <c r="B132" s="30" t="s">
        <v>360</v>
      </c>
      <c r="C132" s="36">
        <v>1016</v>
      </c>
      <c r="D132" s="5" t="s">
        <v>311</v>
      </c>
      <c r="E132" s="5">
        <v>2798</v>
      </c>
      <c r="H132" s="12" t="s">
        <v>427</v>
      </c>
      <c r="I132">
        <v>-203</v>
      </c>
    </row>
    <row r="133" spans="1:9" x14ac:dyDescent="0.3">
      <c r="A133" s="7" t="s">
        <v>404</v>
      </c>
      <c r="B133" s="30" t="s">
        <v>360</v>
      </c>
      <c r="C133" s="36">
        <v>1315</v>
      </c>
      <c r="D133" s="5" t="s">
        <v>316</v>
      </c>
      <c r="E133" s="5">
        <v>15045</v>
      </c>
      <c r="H133" s="12" t="s">
        <v>415</v>
      </c>
      <c r="I133">
        <v>298</v>
      </c>
    </row>
    <row r="134" spans="1:9" x14ac:dyDescent="0.3">
      <c r="A134" s="7" t="s">
        <v>334</v>
      </c>
      <c r="B134" s="30" t="s">
        <v>579</v>
      </c>
      <c r="C134" s="36">
        <v>-119</v>
      </c>
      <c r="D134" s="5" t="s">
        <v>319</v>
      </c>
      <c r="E134" s="5">
        <v>14548</v>
      </c>
      <c r="H134" s="12" t="s">
        <v>406</v>
      </c>
      <c r="I134">
        <v>1727</v>
      </c>
    </row>
    <row r="135" spans="1:9" x14ac:dyDescent="0.3">
      <c r="A135" s="7" t="s">
        <v>432</v>
      </c>
      <c r="B135" s="30" t="s">
        <v>579</v>
      </c>
      <c r="C135" s="36">
        <v>899</v>
      </c>
      <c r="D135" s="5" t="s">
        <v>324</v>
      </c>
      <c r="E135" s="5">
        <v>45708</v>
      </c>
      <c r="H135" s="12" t="s">
        <v>419</v>
      </c>
      <c r="I135">
        <v>2103</v>
      </c>
    </row>
    <row r="136" spans="1:9" x14ac:dyDescent="0.3">
      <c r="A136" s="7" t="s">
        <v>378</v>
      </c>
      <c r="B136" s="30" t="s">
        <v>579</v>
      </c>
      <c r="C136" s="36">
        <v>212</v>
      </c>
      <c r="D136" s="5" t="s">
        <v>311</v>
      </c>
      <c r="E136" s="5">
        <v>12350</v>
      </c>
      <c r="H136" s="12" t="s">
        <v>357</v>
      </c>
      <c r="I136">
        <v>352</v>
      </c>
    </row>
    <row r="137" spans="1:9" x14ac:dyDescent="0.3">
      <c r="A137" s="7" t="s">
        <v>351</v>
      </c>
      <c r="B137" s="30" t="s">
        <v>579</v>
      </c>
      <c r="C137" s="36">
        <v>1350</v>
      </c>
      <c r="D137" s="5" t="s">
        <v>316</v>
      </c>
      <c r="E137" s="5">
        <v>40868</v>
      </c>
      <c r="H137" s="12" t="s">
        <v>385</v>
      </c>
      <c r="I137">
        <v>688</v>
      </c>
    </row>
    <row r="138" spans="1:9" x14ac:dyDescent="0.3">
      <c r="A138" s="7" t="s">
        <v>433</v>
      </c>
      <c r="B138" s="30" t="s">
        <v>580</v>
      </c>
      <c r="C138" s="36">
        <v>1242</v>
      </c>
      <c r="D138" s="5" t="s">
        <v>319</v>
      </c>
      <c r="E138" s="5">
        <v>43122</v>
      </c>
      <c r="H138" s="12" t="s">
        <v>387</v>
      </c>
      <c r="I138">
        <v>913</v>
      </c>
    </row>
    <row r="139" spans="1:9" x14ac:dyDescent="0.3">
      <c r="A139" s="7" t="s">
        <v>434</v>
      </c>
      <c r="B139" s="30" t="s">
        <v>580</v>
      </c>
      <c r="C139" s="36">
        <v>680</v>
      </c>
      <c r="D139" s="5" t="s">
        <v>324</v>
      </c>
      <c r="E139" s="5">
        <v>23853</v>
      </c>
      <c r="H139" s="12" t="s">
        <v>451</v>
      </c>
      <c r="I139">
        <v>269</v>
      </c>
    </row>
    <row r="140" spans="1:9" x14ac:dyDescent="0.3">
      <c r="A140" s="7" t="s">
        <v>435</v>
      </c>
      <c r="B140" s="30" t="s">
        <v>580</v>
      </c>
      <c r="C140" s="36">
        <v>1116</v>
      </c>
      <c r="D140" s="5" t="s">
        <v>311</v>
      </c>
      <c r="E140" s="5">
        <v>45380</v>
      </c>
      <c r="H140" s="12" t="s">
        <v>389</v>
      </c>
      <c r="I140">
        <v>386</v>
      </c>
    </row>
    <row r="141" spans="1:9" x14ac:dyDescent="0.3">
      <c r="A141" s="7" t="s">
        <v>436</v>
      </c>
      <c r="B141" s="30" t="s">
        <v>580</v>
      </c>
      <c r="C141" s="36">
        <v>1385</v>
      </c>
      <c r="D141" s="5" t="s">
        <v>316</v>
      </c>
      <c r="E141" s="5">
        <v>7705</v>
      </c>
      <c r="H141" s="12" t="s">
        <v>314</v>
      </c>
      <c r="I141">
        <v>1002</v>
      </c>
    </row>
    <row r="142" spans="1:9" x14ac:dyDescent="0.3">
      <c r="A142" s="7" t="s">
        <v>355</v>
      </c>
      <c r="B142" s="30" t="s">
        <v>401</v>
      </c>
      <c r="C142" s="36">
        <v>461</v>
      </c>
      <c r="D142" s="5" t="s">
        <v>319</v>
      </c>
      <c r="E142" s="5">
        <v>25525</v>
      </c>
      <c r="H142" s="12" t="s">
        <v>349</v>
      </c>
      <c r="I142">
        <v>160</v>
      </c>
    </row>
    <row r="143" spans="1:9" x14ac:dyDescent="0.3">
      <c r="A143" s="7" t="s">
        <v>387</v>
      </c>
      <c r="B143" s="30" t="s">
        <v>401</v>
      </c>
      <c r="C143" s="36">
        <v>474</v>
      </c>
      <c r="D143" s="5" t="s">
        <v>324</v>
      </c>
      <c r="E143" s="5">
        <v>20560</v>
      </c>
      <c r="H143" s="12" t="s">
        <v>430</v>
      </c>
      <c r="I143">
        <v>1375</v>
      </c>
    </row>
    <row r="144" spans="1:9" x14ac:dyDescent="0.3">
      <c r="A144" s="7" t="s">
        <v>437</v>
      </c>
      <c r="B144" s="30" t="s">
        <v>401</v>
      </c>
      <c r="C144" s="36">
        <v>292</v>
      </c>
      <c r="D144" s="5" t="s">
        <v>311</v>
      </c>
      <c r="E144" s="5">
        <v>19119</v>
      </c>
      <c r="H144" s="12" t="s">
        <v>452</v>
      </c>
      <c r="I144">
        <v>-337</v>
      </c>
    </row>
    <row r="145" spans="1:9" x14ac:dyDescent="0.3">
      <c r="A145" s="7" t="s">
        <v>438</v>
      </c>
      <c r="B145" s="30" t="s">
        <v>401</v>
      </c>
      <c r="C145" s="36">
        <v>389</v>
      </c>
      <c r="D145" s="5" t="s">
        <v>316</v>
      </c>
      <c r="E145" s="5">
        <v>43999</v>
      </c>
      <c r="H145" s="12" t="s">
        <v>348</v>
      </c>
      <c r="I145">
        <v>429</v>
      </c>
    </row>
    <row r="146" spans="1:9" x14ac:dyDescent="0.3">
      <c r="A146" s="7" t="s">
        <v>439</v>
      </c>
      <c r="B146" s="30" t="s">
        <v>581</v>
      </c>
      <c r="C146" s="36">
        <v>641</v>
      </c>
      <c r="D146" s="5" t="s">
        <v>319</v>
      </c>
      <c r="E146" s="5">
        <v>10825</v>
      </c>
      <c r="H146" s="12" t="s">
        <v>379</v>
      </c>
      <c r="I146">
        <v>424</v>
      </c>
    </row>
    <row r="147" spans="1:9" x14ac:dyDescent="0.3">
      <c r="A147" s="7" t="s">
        <v>419</v>
      </c>
      <c r="B147" s="30" t="s">
        <v>581</v>
      </c>
      <c r="C147" s="36">
        <v>1676</v>
      </c>
      <c r="D147" s="5" t="s">
        <v>324</v>
      </c>
      <c r="E147" s="5">
        <v>40323</v>
      </c>
      <c r="H147" s="12" t="s">
        <v>359</v>
      </c>
      <c r="I147">
        <v>1204</v>
      </c>
    </row>
    <row r="148" spans="1:9" x14ac:dyDescent="0.3">
      <c r="A148" s="7" t="s">
        <v>424</v>
      </c>
      <c r="B148" s="30" t="s">
        <v>581</v>
      </c>
      <c r="C148" s="36">
        <v>1467</v>
      </c>
      <c r="D148" s="5" t="s">
        <v>311</v>
      </c>
      <c r="E148" s="5">
        <v>48270</v>
      </c>
      <c r="H148" s="12" t="s">
        <v>443</v>
      </c>
      <c r="I148">
        <v>759</v>
      </c>
    </row>
    <row r="149" spans="1:9" x14ac:dyDescent="0.3">
      <c r="A149" s="7" t="s">
        <v>393</v>
      </c>
      <c r="B149" s="30" t="s">
        <v>581</v>
      </c>
      <c r="C149" s="36">
        <v>167</v>
      </c>
      <c r="D149" s="5" t="s">
        <v>316</v>
      </c>
      <c r="E149" s="5">
        <v>18001</v>
      </c>
      <c r="H149" s="12" t="s">
        <v>434</v>
      </c>
      <c r="I149">
        <v>680</v>
      </c>
    </row>
    <row r="150" spans="1:9" x14ac:dyDescent="0.3">
      <c r="A150" s="7" t="s">
        <v>320</v>
      </c>
      <c r="B150" s="30" t="s">
        <v>412</v>
      </c>
      <c r="C150" s="36">
        <v>1029</v>
      </c>
      <c r="D150" s="5" t="s">
        <v>319</v>
      </c>
      <c r="E150" s="5">
        <v>3314</v>
      </c>
      <c r="H150" s="12" t="s">
        <v>369</v>
      </c>
      <c r="I150">
        <v>197</v>
      </c>
    </row>
    <row r="151" spans="1:9" x14ac:dyDescent="0.3">
      <c r="A151" s="7" t="s">
        <v>440</v>
      </c>
      <c r="B151" s="30" t="s">
        <v>412</v>
      </c>
      <c r="C151" s="36">
        <v>209</v>
      </c>
      <c r="D151" s="5" t="s">
        <v>324</v>
      </c>
      <c r="E151" s="5">
        <v>23489</v>
      </c>
      <c r="H151" s="12" t="s">
        <v>340</v>
      </c>
      <c r="I151">
        <v>64</v>
      </c>
    </row>
    <row r="152" spans="1:9" x14ac:dyDescent="0.3">
      <c r="A152" s="7" t="s">
        <v>378</v>
      </c>
      <c r="B152" s="30" t="s">
        <v>412</v>
      </c>
      <c r="C152" s="36">
        <v>-160</v>
      </c>
      <c r="D152" s="5" t="s">
        <v>311</v>
      </c>
      <c r="E152" s="5">
        <v>42832</v>
      </c>
      <c r="H152" s="12" t="s">
        <v>426</v>
      </c>
      <c r="I152">
        <v>569</v>
      </c>
    </row>
    <row r="153" spans="1:9" x14ac:dyDescent="0.3">
      <c r="A153" s="7" t="s">
        <v>379</v>
      </c>
      <c r="B153" s="30" t="s">
        <v>412</v>
      </c>
      <c r="C153" s="36">
        <v>-175</v>
      </c>
      <c r="D153" s="5" t="s">
        <v>316</v>
      </c>
      <c r="E153" s="5">
        <v>24494</v>
      </c>
      <c r="H153" s="12" t="s">
        <v>317</v>
      </c>
      <c r="I153">
        <v>415</v>
      </c>
    </row>
    <row r="154" spans="1:9" x14ac:dyDescent="0.3">
      <c r="A154" s="7" t="s">
        <v>441</v>
      </c>
      <c r="B154" s="30" t="s">
        <v>361</v>
      </c>
      <c r="C154" s="36">
        <v>53</v>
      </c>
      <c r="D154" s="5" t="s">
        <v>319</v>
      </c>
      <c r="E154" s="5">
        <v>44097</v>
      </c>
      <c r="H154" s="12" t="s">
        <v>532</v>
      </c>
      <c r="I154">
        <v>129010</v>
      </c>
    </row>
    <row r="155" spans="1:9" x14ac:dyDescent="0.3">
      <c r="A155" s="7" t="s">
        <v>442</v>
      </c>
      <c r="B155" s="30" t="s">
        <v>361</v>
      </c>
      <c r="C155" s="36">
        <v>145</v>
      </c>
      <c r="D155" s="5" t="s">
        <v>324</v>
      </c>
      <c r="E155" s="5">
        <v>31853</v>
      </c>
    </row>
    <row r="156" spans="1:9" x14ac:dyDescent="0.3">
      <c r="A156" s="7" t="s">
        <v>386</v>
      </c>
      <c r="B156" s="30" t="s">
        <v>361</v>
      </c>
      <c r="C156" s="36">
        <v>1045</v>
      </c>
      <c r="D156" s="5" t="s">
        <v>311</v>
      </c>
      <c r="E156" s="5">
        <v>37636</v>
      </c>
    </row>
    <row r="157" spans="1:9" x14ac:dyDescent="0.3">
      <c r="A157" s="7" t="s">
        <v>443</v>
      </c>
      <c r="B157" s="30" t="s">
        <v>361</v>
      </c>
      <c r="C157" s="36">
        <v>759</v>
      </c>
      <c r="D157" s="5" t="s">
        <v>316</v>
      </c>
      <c r="E157" s="5">
        <v>22996</v>
      </c>
    </row>
    <row r="158" spans="1:9" x14ac:dyDescent="0.3">
      <c r="A158" s="7" t="s">
        <v>444</v>
      </c>
      <c r="B158" s="30" t="s">
        <v>370</v>
      </c>
      <c r="C158" s="36">
        <v>1633</v>
      </c>
      <c r="D158" s="5" t="s">
        <v>319</v>
      </c>
      <c r="E158" s="5">
        <v>49772</v>
      </c>
    </row>
    <row r="159" spans="1:9" x14ac:dyDescent="0.3">
      <c r="A159" s="7" t="s">
        <v>396</v>
      </c>
      <c r="B159" s="30" t="s">
        <v>370</v>
      </c>
      <c r="C159" s="36">
        <v>1539</v>
      </c>
      <c r="D159" s="5" t="s">
        <v>324</v>
      </c>
      <c r="E159" s="5">
        <v>22713</v>
      </c>
    </row>
    <row r="160" spans="1:9" x14ac:dyDescent="0.3">
      <c r="A160" s="7" t="s">
        <v>445</v>
      </c>
      <c r="B160" s="30" t="s">
        <v>370</v>
      </c>
      <c r="C160" s="36">
        <v>948</v>
      </c>
      <c r="D160" s="5" t="s">
        <v>311</v>
      </c>
      <c r="E160" s="5">
        <v>8718</v>
      </c>
    </row>
    <row r="161" spans="1:5" x14ac:dyDescent="0.3">
      <c r="A161" s="7" t="s">
        <v>446</v>
      </c>
      <c r="B161" s="30" t="s">
        <v>370</v>
      </c>
      <c r="C161" s="36">
        <v>1881</v>
      </c>
      <c r="D161" s="5" t="s">
        <v>316</v>
      </c>
      <c r="E161" s="5">
        <v>39031</v>
      </c>
    </row>
    <row r="162" spans="1:5" x14ac:dyDescent="0.3">
      <c r="A162" s="7" t="s">
        <v>447</v>
      </c>
      <c r="B162" s="30" t="s">
        <v>391</v>
      </c>
      <c r="C162" s="36">
        <v>339</v>
      </c>
      <c r="D162" s="5" t="s">
        <v>319</v>
      </c>
      <c r="E162" s="5">
        <v>33799</v>
      </c>
    </row>
    <row r="163" spans="1:5" x14ac:dyDescent="0.3">
      <c r="A163" s="7" t="s">
        <v>448</v>
      </c>
      <c r="B163" s="30" t="s">
        <v>391</v>
      </c>
      <c r="C163" s="36">
        <v>1510</v>
      </c>
      <c r="D163" s="5" t="s">
        <v>324</v>
      </c>
      <c r="E163" s="5">
        <v>20553</v>
      </c>
    </row>
    <row r="164" spans="1:5" x14ac:dyDescent="0.3">
      <c r="A164" s="7" t="s">
        <v>362</v>
      </c>
      <c r="B164" s="30" t="s">
        <v>391</v>
      </c>
      <c r="C164" s="36">
        <v>864</v>
      </c>
      <c r="D164" s="5" t="s">
        <v>311</v>
      </c>
      <c r="E164" s="5">
        <v>10002</v>
      </c>
    </row>
    <row r="165" spans="1:5" x14ac:dyDescent="0.3">
      <c r="A165" s="7" t="s">
        <v>449</v>
      </c>
      <c r="B165" s="30" t="s">
        <v>391</v>
      </c>
      <c r="C165" s="36">
        <v>1656</v>
      </c>
      <c r="D165" s="5" t="s">
        <v>316</v>
      </c>
      <c r="E165" s="5">
        <v>30987</v>
      </c>
    </row>
    <row r="166" spans="1:5" x14ac:dyDescent="0.3">
      <c r="A166" s="7" t="s">
        <v>450</v>
      </c>
      <c r="B166" s="30" t="s">
        <v>582</v>
      </c>
      <c r="C166" s="36">
        <v>407</v>
      </c>
      <c r="D166" s="5" t="s">
        <v>319</v>
      </c>
      <c r="E166" s="5">
        <v>6296</v>
      </c>
    </row>
    <row r="167" spans="1:5" x14ac:dyDescent="0.3">
      <c r="A167" s="7" t="s">
        <v>451</v>
      </c>
      <c r="B167" s="30" t="s">
        <v>582</v>
      </c>
      <c r="C167" s="36">
        <v>269</v>
      </c>
      <c r="D167" s="5" t="s">
        <v>324</v>
      </c>
      <c r="E167" s="5">
        <v>21539</v>
      </c>
    </row>
    <row r="168" spans="1:5" x14ac:dyDescent="0.3">
      <c r="A168" s="7" t="s">
        <v>452</v>
      </c>
      <c r="B168" s="30" t="s">
        <v>582</v>
      </c>
      <c r="C168" s="36">
        <v>-337</v>
      </c>
      <c r="D168" s="5" t="s">
        <v>311</v>
      </c>
      <c r="E168" s="5">
        <v>14722</v>
      </c>
    </row>
    <row r="169" spans="1:5" x14ac:dyDescent="0.3">
      <c r="A169" s="7" t="s">
        <v>345</v>
      </c>
      <c r="B169" s="30" t="s">
        <v>582</v>
      </c>
      <c r="C169" s="30"/>
      <c r="D169" s="5" t="s">
        <v>316</v>
      </c>
      <c r="E169" s="5">
        <v>11383</v>
      </c>
    </row>
    <row r="170" spans="1:5" x14ac:dyDescent="0.3">
      <c r="A170" s="7" t="s">
        <v>407</v>
      </c>
      <c r="B170" s="30" t="s">
        <v>583</v>
      </c>
      <c r="C170" s="30"/>
      <c r="D170" s="5" t="s">
        <v>319</v>
      </c>
      <c r="E170" s="5">
        <v>9480</v>
      </c>
    </row>
    <row r="171" spans="1:5" x14ac:dyDescent="0.3">
      <c r="A171" s="7" t="s">
        <v>336</v>
      </c>
      <c r="B171" s="30" t="s">
        <v>583</v>
      </c>
      <c r="C171" s="30"/>
      <c r="D171" s="5" t="s">
        <v>324</v>
      </c>
      <c r="E171" s="5">
        <v>29116</v>
      </c>
    </row>
    <row r="172" spans="1:5" x14ac:dyDescent="0.3">
      <c r="A172" s="7" t="s">
        <v>435</v>
      </c>
      <c r="B172" s="30" t="s">
        <v>583</v>
      </c>
      <c r="C172" s="30"/>
      <c r="D172" s="5" t="s">
        <v>311</v>
      </c>
      <c r="E172" s="5">
        <v>14068</v>
      </c>
    </row>
    <row r="173" spans="1:5" x14ac:dyDescent="0.3">
      <c r="A173" s="7" t="s">
        <v>453</v>
      </c>
      <c r="B173" s="30" t="s">
        <v>583</v>
      </c>
      <c r="C173" s="30"/>
      <c r="D173" s="5" t="s">
        <v>316</v>
      </c>
      <c r="E173" s="5">
        <v>35801</v>
      </c>
    </row>
    <row r="174" spans="1:5" x14ac:dyDescent="0.3">
      <c r="A174" s="7" t="s">
        <v>454</v>
      </c>
      <c r="B174" s="30" t="s">
        <v>406</v>
      </c>
      <c r="C174" s="30"/>
      <c r="D174" s="5" t="s">
        <v>319</v>
      </c>
      <c r="E174" s="5">
        <v>49077</v>
      </c>
    </row>
    <row r="175" spans="1:5" x14ac:dyDescent="0.3">
      <c r="A175" s="7" t="s">
        <v>455</v>
      </c>
      <c r="B175" s="30" t="s">
        <v>406</v>
      </c>
      <c r="C175" s="30"/>
      <c r="D175" s="5" t="s">
        <v>324</v>
      </c>
      <c r="E175" s="5">
        <v>21453</v>
      </c>
    </row>
    <row r="176" spans="1:5" x14ac:dyDescent="0.3">
      <c r="A176" s="7" t="s">
        <v>456</v>
      </c>
      <c r="B176" s="30" t="s">
        <v>406</v>
      </c>
      <c r="C176" s="30"/>
      <c r="D176" s="5" t="s">
        <v>311</v>
      </c>
      <c r="E176" s="5">
        <v>21061</v>
      </c>
    </row>
    <row r="177" spans="1:5" x14ac:dyDescent="0.3">
      <c r="A177" s="7" t="s">
        <v>457</v>
      </c>
      <c r="B177" s="30" t="s">
        <v>406</v>
      </c>
      <c r="C177" s="30"/>
      <c r="D177" s="5" t="s">
        <v>316</v>
      </c>
      <c r="E177" s="5">
        <v>20059</v>
      </c>
    </row>
    <row r="178" spans="1:5" x14ac:dyDescent="0.3">
      <c r="A178" s="7" t="s">
        <v>458</v>
      </c>
      <c r="B178" s="30" t="s">
        <v>584</v>
      </c>
      <c r="C178" s="30"/>
      <c r="D178" s="5" t="s">
        <v>319</v>
      </c>
      <c r="E178" s="5">
        <v>23140</v>
      </c>
    </row>
    <row r="179" spans="1:5" x14ac:dyDescent="0.3">
      <c r="A179" s="7" t="s">
        <v>380</v>
      </c>
      <c r="B179" s="30" t="s">
        <v>584</v>
      </c>
      <c r="C179" s="30"/>
      <c r="D179" s="5" t="s">
        <v>324</v>
      </c>
      <c r="E179" s="5">
        <v>23461</v>
      </c>
    </row>
    <row r="180" spans="1:5" x14ac:dyDescent="0.3">
      <c r="A180" s="7" t="s">
        <v>459</v>
      </c>
      <c r="B180" s="30" t="s">
        <v>584</v>
      </c>
      <c r="C180" s="30"/>
      <c r="D180" s="5" t="s">
        <v>311</v>
      </c>
      <c r="E180" s="5">
        <v>11805</v>
      </c>
    </row>
    <row r="181" spans="1:5" x14ac:dyDescent="0.3">
      <c r="A181" s="7" t="s">
        <v>460</v>
      </c>
      <c r="B181" s="30" t="s">
        <v>584</v>
      </c>
      <c r="C181" s="30"/>
      <c r="D181" s="5" t="s">
        <v>316</v>
      </c>
      <c r="E181" s="5">
        <v>15969</v>
      </c>
    </row>
    <row r="182" spans="1:5" x14ac:dyDescent="0.3">
      <c r="A182" s="7" t="s">
        <v>461</v>
      </c>
      <c r="B182" s="30" t="s">
        <v>473</v>
      </c>
      <c r="C182" s="30"/>
      <c r="D182" s="5" t="s">
        <v>319</v>
      </c>
      <c r="E182" s="5">
        <v>2436</v>
      </c>
    </row>
    <row r="183" spans="1:5" x14ac:dyDescent="0.3">
      <c r="A183" s="7" t="s">
        <v>395</v>
      </c>
      <c r="B183" s="30" t="s">
        <v>473</v>
      </c>
      <c r="C183" s="30"/>
      <c r="D183" s="5" t="s">
        <v>324</v>
      </c>
      <c r="E183" s="5">
        <v>47603</v>
      </c>
    </row>
    <row r="184" spans="1:5" x14ac:dyDescent="0.3">
      <c r="A184" s="7" t="s">
        <v>438</v>
      </c>
      <c r="B184" s="30" t="s">
        <v>473</v>
      </c>
      <c r="C184" s="30"/>
      <c r="D184" s="5" t="s">
        <v>311</v>
      </c>
      <c r="E184" s="5">
        <v>42964</v>
      </c>
    </row>
    <row r="185" spans="1:5" x14ac:dyDescent="0.3">
      <c r="A185" s="7" t="s">
        <v>454</v>
      </c>
      <c r="B185" s="30" t="s">
        <v>473</v>
      </c>
      <c r="C185" s="30"/>
      <c r="D185" s="5" t="s">
        <v>316</v>
      </c>
      <c r="E185" s="5">
        <v>39923</v>
      </c>
    </row>
    <row r="186" spans="1:5" x14ac:dyDescent="0.3">
      <c r="A186" s="7" t="s">
        <v>462</v>
      </c>
      <c r="B186" s="30" t="s">
        <v>585</v>
      </c>
      <c r="C186" s="30"/>
      <c r="D186" s="5" t="s">
        <v>319</v>
      </c>
      <c r="E186" s="5">
        <v>2293</v>
      </c>
    </row>
    <row r="187" spans="1:5" x14ac:dyDescent="0.3">
      <c r="A187" s="7" t="s">
        <v>355</v>
      </c>
      <c r="B187" s="30" t="s">
        <v>585</v>
      </c>
      <c r="C187" s="30"/>
      <c r="D187" s="5" t="s">
        <v>324</v>
      </c>
      <c r="E187" s="5">
        <v>25920</v>
      </c>
    </row>
    <row r="188" spans="1:5" x14ac:dyDescent="0.3">
      <c r="A188" s="7" t="s">
        <v>463</v>
      </c>
      <c r="B188" s="30" t="s">
        <v>585</v>
      </c>
      <c r="C188" s="30"/>
      <c r="D188" s="5" t="s">
        <v>311</v>
      </c>
      <c r="E188" s="5">
        <v>11035</v>
      </c>
    </row>
    <row r="189" spans="1:5" x14ac:dyDescent="0.3">
      <c r="A189" s="7" t="s">
        <v>464</v>
      </c>
      <c r="B189" s="30" t="s">
        <v>585</v>
      </c>
      <c r="C189" s="30"/>
      <c r="D189" s="5" t="s">
        <v>316</v>
      </c>
      <c r="E189" s="5">
        <v>20733</v>
      </c>
    </row>
    <row r="190" spans="1:5" x14ac:dyDescent="0.3">
      <c r="A190" s="7" t="s">
        <v>465</v>
      </c>
      <c r="B190" s="30" t="s">
        <v>586</v>
      </c>
      <c r="C190" s="30"/>
      <c r="D190" s="5" t="s">
        <v>319</v>
      </c>
      <c r="E190" s="5">
        <v>18693</v>
      </c>
    </row>
    <row r="191" spans="1:5" x14ac:dyDescent="0.3">
      <c r="A191" s="7" t="s">
        <v>449</v>
      </c>
      <c r="B191" s="30" t="s">
        <v>586</v>
      </c>
      <c r="C191" s="30"/>
      <c r="D191" s="5" t="s">
        <v>324</v>
      </c>
      <c r="E191" s="5">
        <v>7875</v>
      </c>
    </row>
    <row r="192" spans="1:5" x14ac:dyDescent="0.3">
      <c r="A192" s="7" t="s">
        <v>466</v>
      </c>
      <c r="B192" s="30" t="s">
        <v>586</v>
      </c>
      <c r="C192" s="30"/>
      <c r="D192" s="5" t="s">
        <v>311</v>
      </c>
      <c r="E192" s="5">
        <v>8471</v>
      </c>
    </row>
    <row r="193" spans="1:5" x14ac:dyDescent="0.3">
      <c r="A193" s="7" t="s">
        <v>402</v>
      </c>
      <c r="B193" s="30" t="s">
        <v>586</v>
      </c>
      <c r="C193" s="30"/>
      <c r="D193" s="5" t="s">
        <v>316</v>
      </c>
      <c r="E193" s="5">
        <v>14090</v>
      </c>
    </row>
    <row r="194" spans="1:5" x14ac:dyDescent="0.3">
      <c r="A194" s="7" t="s">
        <v>406</v>
      </c>
      <c r="B194" s="30" t="s">
        <v>455</v>
      </c>
      <c r="C194" s="30"/>
      <c r="D194" s="5" t="s">
        <v>319</v>
      </c>
      <c r="E194" s="5">
        <v>14216</v>
      </c>
    </row>
    <row r="195" spans="1:5" x14ac:dyDescent="0.3">
      <c r="A195" s="7" t="s">
        <v>467</v>
      </c>
      <c r="B195" s="30" t="s">
        <v>455</v>
      </c>
      <c r="C195" s="30"/>
      <c r="D195" s="5" t="s">
        <v>324</v>
      </c>
      <c r="E195" s="5">
        <v>3582</v>
      </c>
    </row>
    <row r="196" spans="1:5" x14ac:dyDescent="0.3">
      <c r="A196" s="7" t="s">
        <v>454</v>
      </c>
      <c r="B196" s="30" t="s">
        <v>455</v>
      </c>
      <c r="C196" s="30"/>
      <c r="D196" s="5" t="s">
        <v>311</v>
      </c>
      <c r="E196" s="5">
        <v>32500</v>
      </c>
    </row>
    <row r="197" spans="1:5" x14ac:dyDescent="0.3">
      <c r="A197" s="7" t="s">
        <v>468</v>
      </c>
      <c r="B197" s="30" t="s">
        <v>455</v>
      </c>
      <c r="C197" s="30"/>
      <c r="D197" s="5" t="s">
        <v>316</v>
      </c>
      <c r="E197" s="5">
        <v>6832</v>
      </c>
    </row>
    <row r="198" spans="1:5" x14ac:dyDescent="0.3">
      <c r="A198" s="7" t="s">
        <v>469</v>
      </c>
      <c r="B198" s="30" t="s">
        <v>340</v>
      </c>
      <c r="C198" s="30"/>
      <c r="D198" s="5" t="s">
        <v>319</v>
      </c>
      <c r="E198" s="5">
        <v>33381</v>
      </c>
    </row>
    <row r="199" spans="1:5" x14ac:dyDescent="0.3">
      <c r="A199" s="7" t="s">
        <v>424</v>
      </c>
      <c r="B199" s="30" t="s">
        <v>340</v>
      </c>
      <c r="C199" s="30"/>
      <c r="D199" s="5" t="s">
        <v>324</v>
      </c>
      <c r="E199" s="5">
        <v>48419</v>
      </c>
    </row>
    <row r="200" spans="1:5" x14ac:dyDescent="0.3">
      <c r="A200" s="7" t="s">
        <v>470</v>
      </c>
      <c r="B200" s="30" t="s">
        <v>340</v>
      </c>
      <c r="C200" s="30"/>
      <c r="D200" s="5" t="s">
        <v>311</v>
      </c>
      <c r="E200" s="5">
        <v>16149</v>
      </c>
    </row>
    <row r="201" spans="1:5" x14ac:dyDescent="0.3">
      <c r="A201" s="7" t="s">
        <v>471</v>
      </c>
      <c r="B201" s="30" t="s">
        <v>340</v>
      </c>
      <c r="C201" s="30"/>
      <c r="D201" s="5" t="s">
        <v>316</v>
      </c>
      <c r="E201" s="5">
        <v>7541</v>
      </c>
    </row>
    <row r="202" spans="1:5" x14ac:dyDescent="0.3">
      <c r="A202" s="7" t="s">
        <v>446</v>
      </c>
      <c r="B202" s="30" t="s">
        <v>317</v>
      </c>
      <c r="C202" s="30"/>
      <c r="D202" s="5" t="s">
        <v>319</v>
      </c>
      <c r="E202" s="5">
        <v>20042</v>
      </c>
    </row>
    <row r="203" spans="1:5" x14ac:dyDescent="0.3">
      <c r="A203" s="7" t="s">
        <v>472</v>
      </c>
      <c r="B203" s="30" t="s">
        <v>317</v>
      </c>
      <c r="C203" s="30"/>
      <c r="D203" s="5" t="s">
        <v>324</v>
      </c>
      <c r="E203" s="5">
        <v>49400</v>
      </c>
    </row>
    <row r="204" spans="1:5" x14ac:dyDescent="0.3">
      <c r="A204" s="7" t="s">
        <v>358</v>
      </c>
      <c r="B204" s="30" t="s">
        <v>317</v>
      </c>
      <c r="C204" s="30"/>
      <c r="D204" s="5" t="s">
        <v>311</v>
      </c>
      <c r="E204" s="5">
        <v>4007</v>
      </c>
    </row>
    <row r="205" spans="1:5" x14ac:dyDescent="0.3">
      <c r="A205" s="7" t="s">
        <v>473</v>
      </c>
      <c r="B205" s="30" t="s">
        <v>317</v>
      </c>
      <c r="C205" s="30"/>
      <c r="D205" s="5" t="s">
        <v>316</v>
      </c>
      <c r="E205" s="5">
        <v>12174</v>
      </c>
    </row>
    <row r="206" spans="1:5" x14ac:dyDescent="0.3">
      <c r="A206" s="7" t="s">
        <v>474</v>
      </c>
    </row>
    <row r="207" spans="1:5" x14ac:dyDescent="0.3">
      <c r="A207" s="7" t="s">
        <v>475</v>
      </c>
    </row>
    <row r="208" spans="1:5" x14ac:dyDescent="0.3">
      <c r="A208" s="7" t="s">
        <v>476</v>
      </c>
    </row>
    <row r="209" spans="1:1" x14ac:dyDescent="0.3">
      <c r="A209" s="7" t="s">
        <v>444</v>
      </c>
    </row>
    <row r="210" spans="1:1" x14ac:dyDescent="0.3">
      <c r="A210" s="7" t="s">
        <v>434</v>
      </c>
    </row>
    <row r="211" spans="1:1" x14ac:dyDescent="0.3">
      <c r="A211" s="7" t="s">
        <v>327</v>
      </c>
    </row>
    <row r="212" spans="1:1" x14ac:dyDescent="0.3">
      <c r="A212" s="7" t="s">
        <v>477</v>
      </c>
    </row>
    <row r="213" spans="1:1" x14ac:dyDescent="0.3">
      <c r="A213" s="7" t="s">
        <v>327</v>
      </c>
    </row>
    <row r="214" spans="1:1" x14ac:dyDescent="0.3">
      <c r="A214" s="7" t="s">
        <v>478</v>
      </c>
    </row>
    <row r="215" spans="1:1" x14ac:dyDescent="0.3">
      <c r="A215" s="7" t="s">
        <v>450</v>
      </c>
    </row>
    <row r="216" spans="1:1" x14ac:dyDescent="0.3">
      <c r="A216" s="7" t="s">
        <v>479</v>
      </c>
    </row>
    <row r="217" spans="1:1" x14ac:dyDescent="0.3">
      <c r="A217" s="7" t="s">
        <v>391</v>
      </c>
    </row>
    <row r="218" spans="1:1" x14ac:dyDescent="0.3">
      <c r="A218" s="7" t="s">
        <v>480</v>
      </c>
    </row>
    <row r="219" spans="1:1" x14ac:dyDescent="0.3">
      <c r="A219" s="7" t="s">
        <v>312</v>
      </c>
    </row>
    <row r="220" spans="1:1" x14ac:dyDescent="0.3">
      <c r="A220" s="7" t="s">
        <v>481</v>
      </c>
    </row>
    <row r="221" spans="1:1" x14ac:dyDescent="0.3">
      <c r="A221" s="7" t="s">
        <v>421</v>
      </c>
    </row>
    <row r="222" spans="1:1" x14ac:dyDescent="0.3">
      <c r="A222" s="7" t="s">
        <v>454</v>
      </c>
    </row>
    <row r="223" spans="1:1" x14ac:dyDescent="0.3">
      <c r="A223" s="7" t="s">
        <v>414</v>
      </c>
    </row>
    <row r="224" spans="1:1" x14ac:dyDescent="0.3">
      <c r="A224" s="7" t="s">
        <v>381</v>
      </c>
    </row>
    <row r="225" spans="1:1" x14ac:dyDescent="0.3">
      <c r="A225" s="7" t="s">
        <v>475</v>
      </c>
    </row>
    <row r="226" spans="1:1" x14ac:dyDescent="0.3">
      <c r="A226" s="7" t="s">
        <v>415</v>
      </c>
    </row>
    <row r="227" spans="1:1" x14ac:dyDescent="0.3">
      <c r="A227" s="7" t="s">
        <v>482</v>
      </c>
    </row>
    <row r="228" spans="1:1" x14ac:dyDescent="0.3">
      <c r="A228" s="7" t="s">
        <v>453</v>
      </c>
    </row>
    <row r="229" spans="1:1" x14ac:dyDescent="0.3">
      <c r="A229" s="7" t="s">
        <v>483</v>
      </c>
    </row>
    <row r="230" spans="1:1" x14ac:dyDescent="0.3">
      <c r="A230" s="7" t="s">
        <v>460</v>
      </c>
    </row>
    <row r="231" spans="1:1" x14ac:dyDescent="0.3">
      <c r="A231" s="7" t="s">
        <v>484</v>
      </c>
    </row>
    <row r="232" spans="1:1" x14ac:dyDescent="0.3">
      <c r="A232" s="7" t="s">
        <v>485</v>
      </c>
    </row>
    <row r="233" spans="1:1" x14ac:dyDescent="0.3">
      <c r="A233" s="7" t="s">
        <v>486</v>
      </c>
    </row>
    <row r="234" spans="1:1" x14ac:dyDescent="0.3">
      <c r="A234" s="7" t="s">
        <v>372</v>
      </c>
    </row>
    <row r="235" spans="1:1" x14ac:dyDescent="0.3">
      <c r="A235" s="7" t="s">
        <v>438</v>
      </c>
    </row>
    <row r="236" spans="1:1" x14ac:dyDescent="0.3">
      <c r="A236" s="7" t="s">
        <v>480</v>
      </c>
    </row>
    <row r="237" spans="1:1" x14ac:dyDescent="0.3">
      <c r="A237" s="7" t="s">
        <v>487</v>
      </c>
    </row>
    <row r="238" spans="1:1" x14ac:dyDescent="0.3">
      <c r="A238" s="7" t="s">
        <v>364</v>
      </c>
    </row>
    <row r="239" spans="1:1" x14ac:dyDescent="0.3">
      <c r="A239" s="7" t="s">
        <v>488</v>
      </c>
    </row>
    <row r="240" spans="1:1" x14ac:dyDescent="0.3">
      <c r="A240" s="7" t="s">
        <v>466</v>
      </c>
    </row>
    <row r="241" spans="1:1" x14ac:dyDescent="0.3">
      <c r="A241" s="7" t="s">
        <v>341</v>
      </c>
    </row>
    <row r="242" spans="1:1" x14ac:dyDescent="0.3">
      <c r="A242" s="7" t="s">
        <v>446</v>
      </c>
    </row>
    <row r="243" spans="1:1" x14ac:dyDescent="0.3">
      <c r="A243" s="7" t="s">
        <v>489</v>
      </c>
    </row>
    <row r="244" spans="1:1" x14ac:dyDescent="0.3">
      <c r="A244" s="7" t="s">
        <v>370</v>
      </c>
    </row>
    <row r="245" spans="1:1" x14ac:dyDescent="0.3">
      <c r="A245" s="7" t="s">
        <v>339</v>
      </c>
    </row>
    <row r="246" spans="1:1" x14ac:dyDescent="0.3">
      <c r="A246" s="7" t="s">
        <v>490</v>
      </c>
    </row>
    <row r="247" spans="1:1" x14ac:dyDescent="0.3">
      <c r="A247" s="7" t="s">
        <v>403</v>
      </c>
    </row>
    <row r="248" spans="1:1" x14ac:dyDescent="0.3">
      <c r="A248" s="7" t="s">
        <v>491</v>
      </c>
    </row>
    <row r="249" spans="1:1" x14ac:dyDescent="0.3">
      <c r="A249" s="7" t="s">
        <v>492</v>
      </c>
    </row>
    <row r="250" spans="1:1" x14ac:dyDescent="0.3">
      <c r="A250" s="7" t="s">
        <v>493</v>
      </c>
    </row>
    <row r="251" spans="1:1" x14ac:dyDescent="0.3">
      <c r="A251" s="7" t="s">
        <v>494</v>
      </c>
    </row>
    <row r="252" spans="1:1" x14ac:dyDescent="0.3">
      <c r="A252" s="7" t="s">
        <v>495</v>
      </c>
    </row>
    <row r="253" spans="1:1" x14ac:dyDescent="0.3">
      <c r="A253" s="7" t="s">
        <v>332</v>
      </c>
    </row>
    <row r="254" spans="1:1" x14ac:dyDescent="0.3">
      <c r="A254" s="7" t="s">
        <v>479</v>
      </c>
    </row>
    <row r="255" spans="1:1" x14ac:dyDescent="0.3">
      <c r="A255" s="7" t="s">
        <v>380</v>
      </c>
    </row>
    <row r="256" spans="1:1" x14ac:dyDescent="0.3">
      <c r="A256" s="7" t="s">
        <v>496</v>
      </c>
    </row>
    <row r="257" spans="1:1" x14ac:dyDescent="0.3">
      <c r="A257" s="7" t="s">
        <v>455</v>
      </c>
    </row>
    <row r="258" spans="1:1" x14ac:dyDescent="0.3">
      <c r="A258" s="7" t="s">
        <v>497</v>
      </c>
    </row>
    <row r="259" spans="1:1" x14ac:dyDescent="0.3">
      <c r="A259" s="7" t="s">
        <v>498</v>
      </c>
    </row>
    <row r="260" spans="1:1" x14ac:dyDescent="0.3">
      <c r="A260" s="7" t="s">
        <v>314</v>
      </c>
    </row>
    <row r="261" spans="1:1" x14ac:dyDescent="0.3">
      <c r="A261" s="7" t="s">
        <v>413</v>
      </c>
    </row>
    <row r="262" spans="1:1" x14ac:dyDescent="0.3">
      <c r="A262" s="7" t="s">
        <v>430</v>
      </c>
    </row>
    <row r="263" spans="1:1" x14ac:dyDescent="0.3">
      <c r="A263" s="7" t="s">
        <v>499</v>
      </c>
    </row>
    <row r="264" spans="1:1" x14ac:dyDescent="0.3">
      <c r="A264" s="7" t="s">
        <v>412</v>
      </c>
    </row>
    <row r="265" spans="1:1" x14ac:dyDescent="0.3">
      <c r="A265" s="7" t="s">
        <v>500</v>
      </c>
    </row>
    <row r="266" spans="1:1" x14ac:dyDescent="0.3">
      <c r="A266" s="7" t="s">
        <v>501</v>
      </c>
    </row>
    <row r="267" spans="1:1" x14ac:dyDescent="0.3">
      <c r="A267" s="7" t="s">
        <v>490</v>
      </c>
    </row>
    <row r="268" spans="1:1" x14ac:dyDescent="0.3">
      <c r="A268" s="7" t="s">
        <v>502</v>
      </c>
    </row>
    <row r="269" spans="1:1" x14ac:dyDescent="0.3">
      <c r="A269" s="7" t="s">
        <v>503</v>
      </c>
    </row>
    <row r="270" spans="1:1" x14ac:dyDescent="0.3">
      <c r="A270" s="7" t="s">
        <v>504</v>
      </c>
    </row>
    <row r="271" spans="1:1" x14ac:dyDescent="0.3">
      <c r="A271" s="7" t="s">
        <v>362</v>
      </c>
    </row>
    <row r="272" spans="1:1" x14ac:dyDescent="0.3">
      <c r="A272" s="7" t="s">
        <v>467</v>
      </c>
    </row>
    <row r="273" spans="1:1" x14ac:dyDescent="0.3">
      <c r="A273" s="7" t="s">
        <v>505</v>
      </c>
    </row>
    <row r="274" spans="1:1" x14ac:dyDescent="0.3">
      <c r="A274" s="7" t="s">
        <v>506</v>
      </c>
    </row>
    <row r="275" spans="1:1" x14ac:dyDescent="0.3">
      <c r="A275" s="7" t="s">
        <v>474</v>
      </c>
    </row>
    <row r="276" spans="1:1" x14ac:dyDescent="0.3">
      <c r="A276" s="7" t="s">
        <v>507</v>
      </c>
    </row>
    <row r="277" spans="1:1" x14ac:dyDescent="0.3">
      <c r="A277" s="7" t="s">
        <v>496</v>
      </c>
    </row>
    <row r="278" spans="1:1" x14ac:dyDescent="0.3">
      <c r="A278" s="7" t="s">
        <v>508</v>
      </c>
    </row>
    <row r="279" spans="1:1" x14ac:dyDescent="0.3">
      <c r="A279" s="7" t="s">
        <v>444</v>
      </c>
    </row>
    <row r="280" spans="1:1" x14ac:dyDescent="0.3">
      <c r="A280" s="7" t="s">
        <v>499</v>
      </c>
    </row>
    <row r="281" spans="1:1" x14ac:dyDescent="0.3">
      <c r="A281" s="7" t="s">
        <v>509</v>
      </c>
    </row>
    <row r="282" spans="1:1" x14ac:dyDescent="0.3">
      <c r="A282" s="7" t="s">
        <v>430</v>
      </c>
    </row>
    <row r="283" spans="1:1" x14ac:dyDescent="0.3">
      <c r="A283" s="7" t="s">
        <v>510</v>
      </c>
    </row>
    <row r="284" spans="1:1" x14ac:dyDescent="0.3">
      <c r="A284" s="7" t="s">
        <v>390</v>
      </c>
    </row>
    <row r="285" spans="1:1" x14ac:dyDescent="0.3">
      <c r="A285" s="7" t="s">
        <v>378</v>
      </c>
    </row>
    <row r="286" spans="1:1" x14ac:dyDescent="0.3">
      <c r="A286" s="7" t="s">
        <v>511</v>
      </c>
    </row>
    <row r="287" spans="1:1" x14ac:dyDescent="0.3">
      <c r="A287" s="7" t="s">
        <v>512</v>
      </c>
    </row>
    <row r="288" spans="1:1" x14ac:dyDescent="0.3">
      <c r="A288" s="7" t="s">
        <v>513</v>
      </c>
    </row>
    <row r="289" spans="1:1" x14ac:dyDescent="0.3">
      <c r="A289" s="7" t="s">
        <v>350</v>
      </c>
    </row>
    <row r="290" spans="1:1" x14ac:dyDescent="0.3">
      <c r="A290" s="7" t="s">
        <v>479</v>
      </c>
    </row>
    <row r="291" spans="1:1" x14ac:dyDescent="0.3">
      <c r="A291" s="7" t="s">
        <v>514</v>
      </c>
    </row>
    <row r="292" spans="1:1" x14ac:dyDescent="0.3">
      <c r="A292" s="7" t="s">
        <v>470</v>
      </c>
    </row>
    <row r="293" spans="1:1" x14ac:dyDescent="0.3">
      <c r="A293" s="7" t="s">
        <v>515</v>
      </c>
    </row>
    <row r="294" spans="1:1" x14ac:dyDescent="0.3">
      <c r="A294" s="7" t="s">
        <v>435</v>
      </c>
    </row>
    <row r="295" spans="1:1" x14ac:dyDescent="0.3">
      <c r="A295" s="7" t="s">
        <v>516</v>
      </c>
    </row>
    <row r="296" spans="1:1" x14ac:dyDescent="0.3">
      <c r="A296" s="7" t="s">
        <v>346</v>
      </c>
    </row>
    <row r="297" spans="1:1" x14ac:dyDescent="0.3">
      <c r="A297" s="7" t="s">
        <v>517</v>
      </c>
    </row>
    <row r="298" spans="1:1" x14ac:dyDescent="0.3">
      <c r="A298" s="7" t="s">
        <v>518</v>
      </c>
    </row>
    <row r="299" spans="1:1" x14ac:dyDescent="0.3">
      <c r="A299" s="7" t="s">
        <v>519</v>
      </c>
    </row>
    <row r="300" spans="1:1" x14ac:dyDescent="0.3">
      <c r="A300" s="7" t="s">
        <v>481</v>
      </c>
    </row>
    <row r="301" spans="1:1" x14ac:dyDescent="0.3">
      <c r="A301" s="7" t="s">
        <v>520</v>
      </c>
    </row>
    <row r="302" spans="1:1" x14ac:dyDescent="0.3">
      <c r="A302" s="7" t="s">
        <v>521</v>
      </c>
    </row>
    <row r="303" spans="1:1" x14ac:dyDescent="0.3">
      <c r="A303" s="7" t="s">
        <v>337</v>
      </c>
    </row>
    <row r="304" spans="1:1" x14ac:dyDescent="0.3">
      <c r="A304" s="7" t="s">
        <v>339</v>
      </c>
    </row>
    <row r="305" spans="1:1" x14ac:dyDescent="0.3">
      <c r="A305" s="7" t="s">
        <v>439</v>
      </c>
    </row>
  </sheetData>
  <pageMargins left="0.7" right="0.7" top="0.75" bottom="0.75" header="0.3" footer="0.3"/>
  <pageSetup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Task 1</vt:lpstr>
      <vt:lpstr>Task 2</vt:lpstr>
      <vt:lpstr>Task 3</vt:lpstr>
      <vt:lpstr>Task 4</vt:lpstr>
      <vt:lpstr>Task 5.1</vt:lpstr>
      <vt:lpstr>Task 5.2</vt:lpstr>
      <vt:lpstr>Task 5.3</vt:lpstr>
      <vt:lpstr>Task 5.4</vt:lpstr>
      <vt:lpstr>Task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Shatrusudan Sharma</dc:creator>
  <cp:lastModifiedBy>Shatrusudan Sharma</cp:lastModifiedBy>
  <dcterms:created xsi:type="dcterms:W3CDTF">2026-01-17T11:47:03Z</dcterms:created>
  <dcterms:modified xsi:type="dcterms:W3CDTF">2026-01-20T13:52:51Z</dcterms:modified>
</cp:coreProperties>
</file>